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echadm\Documents\bilgym\prvaci\Anita\Informatika_Záloha 18_8_2025\__Tabuľkový kalkulátor EXCEL\Excel 24_25\TEST 24_25\s opakovaním\"/>
    </mc:Choice>
  </mc:AlternateContent>
  <xr:revisionPtr revIDLastSave="0" documentId="13_ncr:1_{BA37CC28-5B48-4079-9A0C-96E2F186D51E}" xr6:coauthVersionLast="47" xr6:coauthVersionMax="47" xr10:uidLastSave="{00000000-0000-0000-0000-000000000000}"/>
  <bookViews>
    <workbookView xWindow="3660" yWindow="340" windowWidth="15360" windowHeight="8780" xr2:uid="{86EEF7D9-0B5A-4C0A-BC6C-A701D8ABAA70}"/>
  </bookViews>
  <sheets>
    <sheet name="Bežci" sheetId="2" r:id="rId1"/>
  </sheets>
  <externalReferences>
    <externalReference r:id="rId2"/>
  </externalReferences>
  <definedNames>
    <definedName name="_xlnm._FilterDatabase" localSheetId="0" hidden="1">Bežci!$A$3:$I$109</definedName>
    <definedName name="spotreba1">'[1]1q07'!$A$2:$I$240</definedName>
    <definedName name="spotreba2">'[1]2q07'!$A$2:$I$222</definedName>
    <definedName name="spotreba3">'[1]3q07'!$A$2:$I$226</definedName>
    <definedName name="spotreba4">'[1]4q07'!$A$2:$I$240</definedName>
    <definedName name="spotreba5">'[1]1q08'!$A$2:$I$348</definedName>
    <definedName name="subor1">#REF!</definedName>
    <definedName name="subor2">#REF!</definedName>
    <definedName name="subor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9" i="2" l="1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<sst xmlns="http://schemas.openxmlformats.org/spreadsheetml/2006/main" count="434" uniqueCount="228">
  <si>
    <t>Poradie</t>
  </si>
  <si>
    <t>Št. č.</t>
  </si>
  <si>
    <t>Meno</t>
  </si>
  <si>
    <t>Priezvisko</t>
  </si>
  <si>
    <t>Ročník</t>
  </si>
  <si>
    <t>Kat</t>
  </si>
  <si>
    <t>Pohlavie</t>
  </si>
  <si>
    <t>Klub:</t>
  </si>
  <si>
    <t>Čas:</t>
  </si>
  <si>
    <t>Michal</t>
  </si>
  <si>
    <t>Puškár</t>
  </si>
  <si>
    <t>M</t>
  </si>
  <si>
    <t>AŠKTT</t>
  </si>
  <si>
    <t>Mário</t>
  </si>
  <si>
    <t>Brehovský</t>
  </si>
  <si>
    <t>Martinus</t>
  </si>
  <si>
    <t>Trnava</t>
  </si>
  <si>
    <t>Darina</t>
  </si>
  <si>
    <t>Voungová</t>
  </si>
  <si>
    <t>Z</t>
  </si>
  <si>
    <t>Voung Team Žarnovica</t>
  </si>
  <si>
    <t>Matej</t>
  </si>
  <si>
    <t>Holický</t>
  </si>
  <si>
    <t>Sandra</t>
  </si>
  <si>
    <t>Masárová</t>
  </si>
  <si>
    <t>Andrej</t>
  </si>
  <si>
    <t>Braniša</t>
  </si>
  <si>
    <t>Miloslav</t>
  </si>
  <si>
    <t>Furda</t>
  </si>
  <si>
    <t>Triatlon team Trnava</t>
  </si>
  <si>
    <t>Július</t>
  </si>
  <si>
    <t>Greguš</t>
  </si>
  <si>
    <t>Pavol</t>
  </si>
  <si>
    <t>Dobiáš</t>
  </si>
  <si>
    <t>Dema Senica</t>
  </si>
  <si>
    <t>Mesíček</t>
  </si>
  <si>
    <t>BK Viktoria Horné Orešaný</t>
  </si>
  <si>
    <t>Juraj</t>
  </si>
  <si>
    <t>Lícek</t>
  </si>
  <si>
    <t>Majcichov</t>
  </si>
  <si>
    <t>Jakubek</t>
  </si>
  <si>
    <t>Stanislav</t>
  </si>
  <si>
    <t>Hamerlík</t>
  </si>
  <si>
    <t>Ján</t>
  </si>
  <si>
    <t>Fusík</t>
  </si>
  <si>
    <t>BBS Bratislava</t>
  </si>
  <si>
    <t>Ľubomír</t>
  </si>
  <si>
    <t>Gubrický</t>
  </si>
  <si>
    <t>Krajčírovič</t>
  </si>
  <si>
    <t>Martin</t>
  </si>
  <si>
    <t>Medo</t>
  </si>
  <si>
    <t>Hlohovec</t>
  </si>
  <si>
    <t>Dušan</t>
  </si>
  <si>
    <t>Vondráček</t>
  </si>
  <si>
    <t>Jarolím</t>
  </si>
  <si>
    <t>Kozmer</t>
  </si>
  <si>
    <t>Obec Gáň</t>
  </si>
  <si>
    <t>Samuel</t>
  </si>
  <si>
    <t>Chrvala</t>
  </si>
  <si>
    <t>Terminátor Trnava</t>
  </si>
  <si>
    <t>Ľudmila</t>
  </si>
  <si>
    <t>Hlaváčkova</t>
  </si>
  <si>
    <t>Rastislav</t>
  </si>
  <si>
    <t>Dobšovič</t>
  </si>
  <si>
    <t>KRB Dolné Orešany</t>
  </si>
  <si>
    <t>Gabriel</t>
  </si>
  <si>
    <t>Guliš</t>
  </si>
  <si>
    <t>Fitness DK Dánsko</t>
  </si>
  <si>
    <t>Bokora</t>
  </si>
  <si>
    <t>Ida</t>
  </si>
  <si>
    <t>Stachová</t>
  </si>
  <si>
    <t>KRB Trnava</t>
  </si>
  <si>
    <t>Matúš</t>
  </si>
  <si>
    <t>Remiš</t>
  </si>
  <si>
    <t>Lukáš</t>
  </si>
  <si>
    <t>Baluška</t>
  </si>
  <si>
    <t>UPC Run Trnava</t>
  </si>
  <si>
    <t>Romana</t>
  </si>
  <si>
    <t>Komarňanská</t>
  </si>
  <si>
    <t>Eduard</t>
  </si>
  <si>
    <t>Kučkovský</t>
  </si>
  <si>
    <t>Dino Piešťany</t>
  </si>
  <si>
    <t>Heretík</t>
  </si>
  <si>
    <t>Koval</t>
  </si>
  <si>
    <t>Triatlon klub Trnava</t>
  </si>
  <si>
    <t>Denisa</t>
  </si>
  <si>
    <t>Kušnierová</t>
  </si>
  <si>
    <t>Fešák team Trnava</t>
  </si>
  <si>
    <t>Zuzana</t>
  </si>
  <si>
    <t>Pribulová</t>
  </si>
  <si>
    <t>Suchá nad Parnou</t>
  </si>
  <si>
    <t>Richard</t>
  </si>
  <si>
    <t>Zmund</t>
  </si>
  <si>
    <t>Štefan</t>
  </si>
  <si>
    <t>Demovič</t>
  </si>
  <si>
    <t>KOBRA</t>
  </si>
  <si>
    <t>Simona</t>
  </si>
  <si>
    <t>Góňová</t>
  </si>
  <si>
    <t>SheRuns</t>
  </si>
  <si>
    <t>Filip</t>
  </si>
  <si>
    <t>Žilka</t>
  </si>
  <si>
    <t>Leopoldov</t>
  </si>
  <si>
    <t>Jaroslav</t>
  </si>
  <si>
    <t>Štefík</t>
  </si>
  <si>
    <t>Vrbové</t>
  </si>
  <si>
    <t>Klimek</t>
  </si>
  <si>
    <t>Sokol Čachtice</t>
  </si>
  <si>
    <t>Jana</t>
  </si>
  <si>
    <t>Puškárová</t>
  </si>
  <si>
    <t>Roman</t>
  </si>
  <si>
    <t>Rendek</t>
  </si>
  <si>
    <t>Branislav</t>
  </si>
  <si>
    <t>Frišo</t>
  </si>
  <si>
    <t>Miroslav</t>
  </si>
  <si>
    <t>Černý</t>
  </si>
  <si>
    <t>AK Bojničky</t>
  </si>
  <si>
    <t>Milan</t>
  </si>
  <si>
    <t>Jakabovič</t>
  </si>
  <si>
    <t>Nikola</t>
  </si>
  <si>
    <t>Vajglová</t>
  </si>
  <si>
    <t>Cyril</t>
  </si>
  <si>
    <t>Bohunický</t>
  </si>
  <si>
    <t>Bežecký klub Malženice</t>
  </si>
  <si>
    <t>Vladimír</t>
  </si>
  <si>
    <t>Cagáň</t>
  </si>
  <si>
    <t>Fešák Team Trnava</t>
  </si>
  <si>
    <t>Selecký</t>
  </si>
  <si>
    <t>Klub dôchodcov TT</t>
  </si>
  <si>
    <t>Mrázik</t>
  </si>
  <si>
    <t>Piešťany</t>
  </si>
  <si>
    <t>Hudec</t>
  </si>
  <si>
    <t>Trenčín</t>
  </si>
  <si>
    <t>Dominik</t>
  </si>
  <si>
    <t>Šabo</t>
  </si>
  <si>
    <t>Obice</t>
  </si>
  <si>
    <t>Henrieta</t>
  </si>
  <si>
    <t>Gajdoš</t>
  </si>
  <si>
    <t>Hospitality Triathlon Team Trnava</t>
  </si>
  <si>
    <t>Očkovský</t>
  </si>
  <si>
    <t>OFK Bučany</t>
  </si>
  <si>
    <t>Ľuboš</t>
  </si>
  <si>
    <t>Ferenc</t>
  </si>
  <si>
    <t>Petra</t>
  </si>
  <si>
    <t xml:space="preserve">Mráziková </t>
  </si>
  <si>
    <t>SPŠ TT</t>
  </si>
  <si>
    <t>Mužila</t>
  </si>
  <si>
    <t>Bartoš</t>
  </si>
  <si>
    <t>Maliarske centrum Trnava</t>
  </si>
  <si>
    <t>Šimalčík</t>
  </si>
  <si>
    <t>Katarína</t>
  </si>
  <si>
    <t>Krasňanská</t>
  </si>
  <si>
    <t>Vago</t>
  </si>
  <si>
    <t>TBM Trnava</t>
  </si>
  <si>
    <t>Boris</t>
  </si>
  <si>
    <t>Novanský</t>
  </si>
  <si>
    <t>Tomáš</t>
  </si>
  <si>
    <t>Straška</t>
  </si>
  <si>
    <t>Vladislav</t>
  </si>
  <si>
    <t>Blažo</t>
  </si>
  <si>
    <t>Marián</t>
  </si>
  <si>
    <t>Almáši</t>
  </si>
  <si>
    <t>Beháme.sk</t>
  </si>
  <si>
    <t>Peter</t>
  </si>
  <si>
    <t>Riman</t>
  </si>
  <si>
    <t>Krajčovič</t>
  </si>
  <si>
    <t>Cífer</t>
  </si>
  <si>
    <t>René</t>
  </si>
  <si>
    <t>Malý</t>
  </si>
  <si>
    <t>ŠK pre radosť</t>
  </si>
  <si>
    <t>Martina</t>
  </si>
  <si>
    <t>Sopková</t>
  </si>
  <si>
    <t>Lietavec</t>
  </si>
  <si>
    <t>BK Malženice</t>
  </si>
  <si>
    <t>Barbora</t>
  </si>
  <si>
    <t>Benková</t>
  </si>
  <si>
    <t>Anita</t>
  </si>
  <si>
    <t>Filová</t>
  </si>
  <si>
    <t>Stefan</t>
  </si>
  <si>
    <t>Lehen</t>
  </si>
  <si>
    <t>Dolná Krupá</t>
  </si>
  <si>
    <t>František</t>
  </si>
  <si>
    <t>Volek</t>
  </si>
  <si>
    <t>Baláž</t>
  </si>
  <si>
    <t>Záhorec</t>
  </si>
  <si>
    <t>Petrovič</t>
  </si>
  <si>
    <t>Trstín</t>
  </si>
  <si>
    <t>Anton</t>
  </si>
  <si>
    <t>Bednárik</t>
  </si>
  <si>
    <t>Róbert</t>
  </si>
  <si>
    <t>Spál</t>
  </si>
  <si>
    <t>Šintal</t>
  </si>
  <si>
    <t>Andrea team Sereď</t>
  </si>
  <si>
    <t>Orlický</t>
  </si>
  <si>
    <t>Ervín</t>
  </si>
  <si>
    <t>Páleník</t>
  </si>
  <si>
    <t>Marek</t>
  </si>
  <si>
    <t>Jankovič</t>
  </si>
  <si>
    <t>Karaba</t>
  </si>
  <si>
    <t>BK Slimáci</t>
  </si>
  <si>
    <t>Jozef</t>
  </si>
  <si>
    <t>TJ Dolná Krupá</t>
  </si>
  <si>
    <t>BK Trnava</t>
  </si>
  <si>
    <t>Čajkovič</t>
  </si>
  <si>
    <t>Mičky</t>
  </si>
  <si>
    <t>Lapšanský</t>
  </si>
  <si>
    <t>Dolné Orešany</t>
  </si>
  <si>
    <t>Peťkovský</t>
  </si>
  <si>
    <t>Vendelín</t>
  </si>
  <si>
    <t>Krištofiak</t>
  </si>
  <si>
    <t>Radovan</t>
  </si>
  <si>
    <t>Miškolci</t>
  </si>
  <si>
    <t>Ambróz</t>
  </si>
  <si>
    <t>Pavlík</t>
  </si>
  <si>
    <t>Bystrík</t>
  </si>
  <si>
    <t>Vadovič</t>
  </si>
  <si>
    <t>Podbrezová</t>
  </si>
  <si>
    <t>Hrdina</t>
  </si>
  <si>
    <t>Axel Trnava</t>
  </si>
  <si>
    <t>Cyklo centrum plus TT</t>
  </si>
  <si>
    <t>Marcel</t>
  </si>
  <si>
    <t>Hlaváček</t>
  </si>
  <si>
    <t>Stacho</t>
  </si>
  <si>
    <t>Schiffer</t>
  </si>
  <si>
    <t>Gefco Slovakia</t>
  </si>
  <si>
    <t>Lieskovský</t>
  </si>
  <si>
    <t>MBK Tyrnavia Trnava</t>
  </si>
  <si>
    <t>Zdroj:internet</t>
  </si>
  <si>
    <t>Novoročný beh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</si>
</sst>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22"/>
      <color indexed="8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4" fillId="4" borderId="1" xfId="1" applyFont="1" applyFill="1" applyBorder="1" applyAlignment="1">
      <alignment horizontal="center"/>
    </xf>
    <xf numFmtId="0" fontId="5" fillId="5" borderId="1" xfId="2" applyFont="1" applyFill="1" applyBorder="1" applyAlignment="1">
      <alignment horizontal="left"/>
    </xf>
    <xf numFmtId="0" fontId="5" fillId="5" borderId="1" xfId="2" applyFont="1" applyFill="1" applyBorder="1" applyAlignment="1">
      <alignment horizontal="center"/>
    </xf>
    <xf numFmtId="46" fontId="5" fillId="5" borderId="1" xfId="2" applyNumberFormat="1" applyFont="1" applyFill="1" applyBorder="1" applyAlignment="1">
      <alignment horizontal="left"/>
    </xf>
    <xf numFmtId="4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46" fontId="0" fillId="0" borderId="0" xfId="0" applyNumberFormat="1"/>
    <xf numFmtId="0" fontId="3" fillId="4" borderId="0" xfId="0" applyFont="1" applyFill="1" applyAlignment="1">
      <alignment horizontal="center"/>
    </xf>
  </cellXfs>
  <cellStyles count="3">
    <cellStyle name="40% - Accent3" xfId="2" builtinId="39"/>
    <cellStyle name="Accent3" xfId="1" builtinId="37"/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ita.bernerova/Downloads/Users/kernatsj/Desktop/Dieteticke%20potraviny/KK%20pre%20DP/rok%202014/KK_DP_1_1_2014/Material%20do%20KK/Dieteticke%20potraviny/KK%20pre%20DP/KK%20DP%20k%201.10.2008/Material%20do%20KK/navrh%20cast%20A%20k%201%201008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q07"/>
      <sheetName val="2q07"/>
      <sheetName val="3q07"/>
      <sheetName val="4q07"/>
      <sheetName val="1q08"/>
      <sheetName val="3"/>
    </sheetNames>
    <sheetDataSet>
      <sheetData sheetId="0"/>
      <sheetData sheetId="1">
        <row r="2">
          <cell r="A2" t="str">
            <v>D0081</v>
          </cell>
          <cell r="B2" t="str">
            <v>DP01A</v>
          </cell>
          <cell r="C2" t="str">
            <v>DP0</v>
          </cell>
          <cell r="D2" t="str">
            <v>MILUPA PKU 2</v>
          </cell>
          <cell r="E2" t="str">
            <v>plv 1x500 g</v>
          </cell>
          <cell r="F2">
            <v>31</v>
          </cell>
          <cell r="G2">
            <v>216128.2</v>
          </cell>
          <cell r="H2">
            <v>0</v>
          </cell>
          <cell r="I2" t="str">
            <v>4q2007</v>
          </cell>
        </row>
        <row r="3">
          <cell r="A3" t="str">
            <v>D0082</v>
          </cell>
          <cell r="B3" t="str">
            <v>DP01A</v>
          </cell>
          <cell r="C3" t="str">
            <v>DP0</v>
          </cell>
          <cell r="D3" t="str">
            <v>MILUPA PKU 3</v>
          </cell>
          <cell r="E3" t="str">
            <v>plv 1x500 g</v>
          </cell>
          <cell r="F3">
            <v>48</v>
          </cell>
          <cell r="G3">
            <v>345264</v>
          </cell>
          <cell r="H3">
            <v>0</v>
          </cell>
          <cell r="I3" t="str">
            <v>4q2007</v>
          </cell>
        </row>
        <row r="4">
          <cell r="A4" t="str">
            <v>D0083</v>
          </cell>
          <cell r="B4" t="str">
            <v>DP01A</v>
          </cell>
          <cell r="C4" t="str">
            <v>DP0</v>
          </cell>
          <cell r="D4" t="str">
            <v>MILUPA PKU 2 SHAKE ČOKOLÁDA</v>
          </cell>
          <cell r="E4" t="str">
            <v>plv 1x30 g</v>
          </cell>
          <cell r="F4">
            <v>355</v>
          </cell>
          <cell r="G4">
            <v>73130</v>
          </cell>
          <cell r="H4">
            <v>2130</v>
          </cell>
          <cell r="I4" t="str">
            <v>4q2007</v>
          </cell>
        </row>
        <row r="5">
          <cell r="A5" t="str">
            <v>D0084</v>
          </cell>
          <cell r="B5" t="str">
            <v>DP01A</v>
          </cell>
          <cell r="C5" t="str">
            <v>DP0</v>
          </cell>
          <cell r="D5" t="str">
            <v>MILUPA PKU 2 SHAKE JAHODA-VANILKA</v>
          </cell>
          <cell r="E5" t="str">
            <v>plv 1x30 g</v>
          </cell>
          <cell r="F5">
            <v>215</v>
          </cell>
          <cell r="G5">
            <v>44290</v>
          </cell>
          <cell r="H5">
            <v>1290</v>
          </cell>
          <cell r="I5" t="str">
            <v>4q2007</v>
          </cell>
        </row>
        <row r="6">
          <cell r="A6" t="str">
            <v>D0088</v>
          </cell>
          <cell r="B6" t="str">
            <v>DP01A</v>
          </cell>
          <cell r="C6" t="str">
            <v>DP0</v>
          </cell>
          <cell r="D6" t="str">
            <v>P-AM 2</v>
          </cell>
          <cell r="E6" t="str">
            <v>plv 1x500 g</v>
          </cell>
          <cell r="F6">
            <v>272</v>
          </cell>
          <cell r="G6">
            <v>2070978.1</v>
          </cell>
          <cell r="H6">
            <v>0</v>
          </cell>
          <cell r="I6" t="str">
            <v>4q2007</v>
          </cell>
        </row>
        <row r="7">
          <cell r="A7" t="str">
            <v>D0089</v>
          </cell>
          <cell r="B7" t="str">
            <v>DP01A</v>
          </cell>
          <cell r="C7" t="str">
            <v>DP0</v>
          </cell>
          <cell r="D7" t="str">
            <v>P-AM 3</v>
          </cell>
          <cell r="E7" t="str">
            <v>plv 1x500 g</v>
          </cell>
          <cell r="F7">
            <v>414</v>
          </cell>
          <cell r="G7">
            <v>3147106.2</v>
          </cell>
          <cell r="H7">
            <v>0</v>
          </cell>
          <cell r="I7" t="str">
            <v>4q2007</v>
          </cell>
        </row>
        <row r="8">
          <cell r="A8" t="str">
            <v>D0090</v>
          </cell>
          <cell r="B8" t="str">
            <v>DP01A</v>
          </cell>
          <cell r="C8" t="str">
            <v>DP0</v>
          </cell>
          <cell r="D8" t="str">
            <v>P-AM UNIVERSAL</v>
          </cell>
          <cell r="E8" t="str">
            <v>plv 1x500 g</v>
          </cell>
          <cell r="F8">
            <v>25</v>
          </cell>
          <cell r="G8">
            <v>182407.5</v>
          </cell>
          <cell r="H8">
            <v>0</v>
          </cell>
          <cell r="I8" t="str">
            <v>4q2007</v>
          </cell>
        </row>
        <row r="9">
          <cell r="A9" t="str">
            <v>D0129</v>
          </cell>
          <cell r="B9" t="str">
            <v>DP01A</v>
          </cell>
          <cell r="C9" t="str">
            <v>DP0</v>
          </cell>
          <cell r="D9" t="str">
            <v>XP ANALOG LCP</v>
          </cell>
          <cell r="E9" t="str">
            <v>plv 1x400 g</v>
          </cell>
          <cell r="F9">
            <v>78</v>
          </cell>
          <cell r="G9">
            <v>187292.79999999999</v>
          </cell>
          <cell r="H9">
            <v>0</v>
          </cell>
          <cell r="I9" t="str">
            <v>4q2007</v>
          </cell>
        </row>
        <row r="10">
          <cell r="A10" t="str">
            <v>D0131</v>
          </cell>
          <cell r="B10" t="str">
            <v>DP01A</v>
          </cell>
          <cell r="C10" t="str">
            <v>DP0</v>
          </cell>
          <cell r="D10" t="str">
            <v>PHLEXY-10 TYČINKA</v>
          </cell>
          <cell r="E10" t="str">
            <v>sty 20x42 g</v>
          </cell>
          <cell r="F10">
            <v>15</v>
          </cell>
          <cell r="G10">
            <v>73500</v>
          </cell>
          <cell r="H10">
            <v>2250</v>
          </cell>
          <cell r="I10" t="str">
            <v>4q2007</v>
          </cell>
        </row>
        <row r="11">
          <cell r="A11" t="str">
            <v>D0165</v>
          </cell>
          <cell r="B11" t="str">
            <v>DP01A</v>
          </cell>
          <cell r="C11" t="str">
            <v>DP0</v>
          </cell>
          <cell r="D11" t="str">
            <v>XPhe Advance Se</v>
          </cell>
          <cell r="E11" t="str">
            <v>plv 1x500 g</v>
          </cell>
          <cell r="F11">
            <v>390</v>
          </cell>
          <cell r="G11">
            <v>2929613</v>
          </cell>
          <cell r="H11">
            <v>0</v>
          </cell>
          <cell r="I11" t="str">
            <v>4q2007</v>
          </cell>
        </row>
        <row r="12">
          <cell r="A12" t="str">
            <v>D0166</v>
          </cell>
          <cell r="B12" t="str">
            <v>DP01A</v>
          </cell>
          <cell r="C12" t="str">
            <v>DP0</v>
          </cell>
          <cell r="D12" t="str">
            <v>XPhe Kid Se</v>
          </cell>
          <cell r="E12" t="str">
            <v>plv 1x500 g</v>
          </cell>
          <cell r="F12">
            <v>86</v>
          </cell>
          <cell r="G12">
            <v>586769.19999999995</v>
          </cell>
          <cell r="H12">
            <v>0</v>
          </cell>
          <cell r="I12" t="str">
            <v>4q2007</v>
          </cell>
        </row>
        <row r="13">
          <cell r="A13" t="str">
            <v>D0167</v>
          </cell>
          <cell r="B13" t="str">
            <v>DP01A</v>
          </cell>
          <cell r="C13" t="str">
            <v>DP0</v>
          </cell>
          <cell r="D13" t="str">
            <v>XPhe Junior Se</v>
          </cell>
          <cell r="E13" t="str">
            <v>plv 1x500 g</v>
          </cell>
          <cell r="F13">
            <v>22</v>
          </cell>
          <cell r="G13">
            <v>147866.79999999999</v>
          </cell>
          <cell r="H13">
            <v>0</v>
          </cell>
          <cell r="I13" t="str">
            <v>4q2007</v>
          </cell>
        </row>
        <row r="14">
          <cell r="A14" t="str">
            <v>D0174</v>
          </cell>
          <cell r="B14" t="str">
            <v>DP01A</v>
          </cell>
          <cell r="C14" t="str">
            <v>DP0</v>
          </cell>
          <cell r="D14" t="str">
            <v>APROMIX, nízkobielkovinová múka</v>
          </cell>
          <cell r="E14" t="str">
            <v>1 x 1000 g</v>
          </cell>
          <cell r="F14">
            <v>1332</v>
          </cell>
          <cell r="G14">
            <v>133032</v>
          </cell>
          <cell r="H14">
            <v>13304</v>
          </cell>
          <cell r="I14" t="str">
            <v>4q2007</v>
          </cell>
        </row>
        <row r="15">
          <cell r="A15" t="str">
            <v>D0181</v>
          </cell>
          <cell r="B15" t="str">
            <v>DP01A</v>
          </cell>
          <cell r="C15" t="str">
            <v>DP0</v>
          </cell>
          <cell r="D15" t="str">
            <v>APROCEL – nízkobielkovinové cestoviny</v>
          </cell>
          <cell r="E15" t="str">
            <v>1 x 250 g</v>
          </cell>
          <cell r="F15">
            <v>2295</v>
          </cell>
          <cell r="G15">
            <v>77796</v>
          </cell>
          <cell r="H15">
            <v>75201.899999999994</v>
          </cell>
          <cell r="I15" t="str">
            <v>4q2007</v>
          </cell>
        </row>
        <row r="16">
          <cell r="A16" t="str">
            <v>D0182</v>
          </cell>
          <cell r="B16" t="str">
            <v>DP01A</v>
          </cell>
          <cell r="C16" t="str">
            <v>DP0</v>
          </cell>
          <cell r="D16" t="str">
            <v>Nízkobielkovinové  OBLÁTKY</v>
          </cell>
          <cell r="E16" t="str">
            <v>1 x 100 g</v>
          </cell>
          <cell r="F16">
            <v>319</v>
          </cell>
          <cell r="G16">
            <v>16622.599999999999</v>
          </cell>
          <cell r="H16">
            <v>15993.6</v>
          </cell>
          <cell r="I16" t="str">
            <v>4q2007</v>
          </cell>
        </row>
        <row r="17">
          <cell r="A17" t="str">
            <v>D0186</v>
          </cell>
          <cell r="B17" t="str">
            <v>DP01A</v>
          </cell>
          <cell r="C17" t="str">
            <v>DP0</v>
          </cell>
          <cell r="D17" t="str">
            <v>SinPhe 1</v>
          </cell>
          <cell r="E17" t="str">
            <v>plv 1x500 g</v>
          </cell>
          <cell r="F17">
            <v>459</v>
          </cell>
          <cell r="G17">
            <v>2655753.5</v>
          </cell>
          <cell r="H17">
            <v>0</v>
          </cell>
          <cell r="I17" t="str">
            <v>4q2007</v>
          </cell>
        </row>
        <row r="18">
          <cell r="A18" t="str">
            <v>D0193</v>
          </cell>
          <cell r="B18" t="str">
            <v>DP01A</v>
          </cell>
          <cell r="C18" t="str">
            <v>DP0</v>
          </cell>
          <cell r="D18" t="str">
            <v>APROMIX-T plus, tmavá nízkobielkovinová múka</v>
          </cell>
          <cell r="E18" t="str">
            <v>1 x 1000 g</v>
          </cell>
          <cell r="F18">
            <v>211</v>
          </cell>
          <cell r="G18">
            <v>20946.400000000001</v>
          </cell>
          <cell r="H18">
            <v>12442.2</v>
          </cell>
          <cell r="I18" t="str">
            <v>4q2007</v>
          </cell>
        </row>
        <row r="19">
          <cell r="A19" t="str">
            <v>D0195</v>
          </cell>
          <cell r="B19" t="str">
            <v>DP01A</v>
          </cell>
          <cell r="C19" t="str">
            <v>DP0</v>
          </cell>
          <cell r="D19" t="str">
            <v>APROMIX-plus, nízkobielkovinová múka</v>
          </cell>
          <cell r="E19" t="str">
            <v>1 x 1000 g</v>
          </cell>
          <cell r="F19">
            <v>168</v>
          </cell>
          <cell r="G19">
            <v>16800</v>
          </cell>
          <cell r="H19">
            <v>9979.2000000000007</v>
          </cell>
          <cell r="I19" t="str">
            <v>4q2007</v>
          </cell>
        </row>
        <row r="20">
          <cell r="A20" t="str">
            <v>D0203</v>
          </cell>
          <cell r="B20" t="str">
            <v>DP01A</v>
          </cell>
          <cell r="C20" t="str">
            <v>DP0</v>
          </cell>
          <cell r="D20" t="str">
            <v>MINAPHLEX</v>
          </cell>
          <cell r="E20" t="str">
            <v>plv 1x 29 g</v>
          </cell>
          <cell r="F20">
            <v>2173</v>
          </cell>
          <cell r="G20">
            <v>532375</v>
          </cell>
          <cell r="H20">
            <v>5432.5</v>
          </cell>
          <cell r="I20" t="str">
            <v>4q2007</v>
          </cell>
        </row>
        <row r="21">
          <cell r="A21" t="str">
            <v>D0208</v>
          </cell>
          <cell r="B21" t="str">
            <v>DP01A</v>
          </cell>
          <cell r="C21" t="str">
            <v>DP0</v>
          </cell>
          <cell r="D21" t="str">
            <v>DAMIN LOW PROTEIN MIX</v>
          </cell>
          <cell r="E21" t="str">
            <v>1 x 400 g</v>
          </cell>
          <cell r="F21">
            <v>664</v>
          </cell>
          <cell r="G21">
            <v>73836.3</v>
          </cell>
          <cell r="H21">
            <v>31672.3</v>
          </cell>
          <cell r="I21" t="str">
            <v>4q2007</v>
          </cell>
        </row>
        <row r="22">
          <cell r="A22" t="str">
            <v>D0209</v>
          </cell>
          <cell r="B22" t="str">
            <v>DP01A</v>
          </cell>
          <cell r="C22" t="str">
            <v>DP0</v>
          </cell>
          <cell r="D22" t="str">
            <v>LOPROFIN PKU milk drink</v>
          </cell>
          <cell r="E22" t="str">
            <v>sol 1x200 ml</v>
          </cell>
          <cell r="F22">
            <v>41</v>
          </cell>
          <cell r="G22">
            <v>984</v>
          </cell>
          <cell r="H22">
            <v>959.4</v>
          </cell>
          <cell r="I22" t="str">
            <v>4q2007</v>
          </cell>
        </row>
        <row r="23">
          <cell r="A23" t="str">
            <v>D0210</v>
          </cell>
          <cell r="B23" t="str">
            <v>DP01A</v>
          </cell>
          <cell r="C23" t="str">
            <v>DP0</v>
          </cell>
          <cell r="D23" t="str">
            <v>LOPROFIN dlhé špagety</v>
          </cell>
          <cell r="E23" t="str">
            <v>1x500 g</v>
          </cell>
          <cell r="F23">
            <v>15</v>
          </cell>
          <cell r="G23">
            <v>1626</v>
          </cell>
          <cell r="H23">
            <v>1624.5</v>
          </cell>
          <cell r="I23" t="str">
            <v>4q2007</v>
          </cell>
        </row>
        <row r="24">
          <cell r="A24" t="str">
            <v>D0211</v>
          </cell>
          <cell r="B24" t="str">
            <v>DP01A</v>
          </cell>
          <cell r="C24" t="str">
            <v>DP0</v>
          </cell>
          <cell r="D24" t="str">
            <v>LOPROFIN low protein herb crackers</v>
          </cell>
          <cell r="E24" t="str">
            <v>1x150 g</v>
          </cell>
          <cell r="F24">
            <v>20</v>
          </cell>
          <cell r="G24">
            <v>2032</v>
          </cell>
          <cell r="H24">
            <v>2030</v>
          </cell>
          <cell r="I24" t="str">
            <v>4q2007</v>
          </cell>
        </row>
        <row r="25">
          <cell r="A25" t="str">
            <v>D0212</v>
          </cell>
          <cell r="B25" t="str">
            <v>DP01A</v>
          </cell>
          <cell r="C25" t="str">
            <v>DP0</v>
          </cell>
          <cell r="D25" t="str">
            <v>MILUPA lp-drink</v>
          </cell>
          <cell r="E25" t="str">
            <v>1 x 400 g</v>
          </cell>
          <cell r="F25">
            <v>135</v>
          </cell>
          <cell r="G25">
            <v>53821.2</v>
          </cell>
          <cell r="H25">
            <v>23057.3</v>
          </cell>
          <cell r="I25" t="str">
            <v>4q2007</v>
          </cell>
        </row>
        <row r="26">
          <cell r="A26" t="str">
            <v>D0213</v>
          </cell>
          <cell r="B26" t="str">
            <v>DP01A</v>
          </cell>
          <cell r="C26" t="str">
            <v>DP0</v>
          </cell>
          <cell r="D26" t="str">
            <v>MILUPA lp-flakes</v>
          </cell>
          <cell r="E26" t="str">
            <v>1x375 g</v>
          </cell>
          <cell r="F26">
            <v>21</v>
          </cell>
          <cell r="G26">
            <v>2883.4</v>
          </cell>
          <cell r="H26">
            <v>2883.4</v>
          </cell>
          <cell r="I26" t="str">
            <v>4q2007</v>
          </cell>
        </row>
        <row r="27">
          <cell r="A27" t="str">
            <v>D0214</v>
          </cell>
          <cell r="B27" t="str">
            <v>DP01A</v>
          </cell>
          <cell r="C27" t="str">
            <v>DP0</v>
          </cell>
          <cell r="D27" t="str">
            <v>MILUPA lp-ringlets</v>
          </cell>
          <cell r="E27" t="str">
            <v>1x250 g</v>
          </cell>
          <cell r="F27">
            <v>86</v>
          </cell>
          <cell r="G27">
            <v>8908</v>
          </cell>
          <cell r="H27">
            <v>8911.1</v>
          </cell>
          <cell r="I27" t="str">
            <v>4q2007</v>
          </cell>
        </row>
        <row r="28">
          <cell r="A28" t="str">
            <v>D0215</v>
          </cell>
          <cell r="B28" t="str">
            <v>DP01A</v>
          </cell>
          <cell r="C28" t="str">
            <v>DP0</v>
          </cell>
          <cell r="D28" t="str">
            <v>MILUPA BASIC-P</v>
          </cell>
          <cell r="E28" t="str">
            <v>plv 1x400 g</v>
          </cell>
          <cell r="F28">
            <v>199</v>
          </cell>
          <cell r="G28">
            <v>289101.59999999998</v>
          </cell>
          <cell r="H28">
            <v>6722.1</v>
          </cell>
          <cell r="I28" t="str">
            <v>4q2007</v>
          </cell>
        </row>
        <row r="29">
          <cell r="A29" t="str">
            <v>D0216</v>
          </cell>
          <cell r="B29" t="str">
            <v>DP01A</v>
          </cell>
          <cell r="C29" t="str">
            <v>DP0</v>
          </cell>
          <cell r="D29" t="str">
            <v>MILUPA PKU 1 MIX</v>
          </cell>
          <cell r="E29" t="str">
            <v>plv 1x1000 g</v>
          </cell>
          <cell r="F29">
            <v>8</v>
          </cell>
          <cell r="G29">
            <v>37558.400000000001</v>
          </cell>
          <cell r="H29">
            <v>0</v>
          </cell>
          <cell r="I29" t="str">
            <v>4q2007</v>
          </cell>
        </row>
        <row r="30">
          <cell r="A30" t="str">
            <v>D0245</v>
          </cell>
          <cell r="B30" t="str">
            <v>DP01A</v>
          </cell>
          <cell r="C30" t="str">
            <v>DP0</v>
          </cell>
          <cell r="D30" t="str">
            <v>SinPhe basic</v>
          </cell>
          <cell r="E30" t="str">
            <v>plv 1x500 g</v>
          </cell>
          <cell r="F30">
            <v>42</v>
          </cell>
          <cell r="G30">
            <v>244102.9</v>
          </cell>
          <cell r="H30">
            <v>0</v>
          </cell>
          <cell r="I30" t="str">
            <v>4q2007</v>
          </cell>
        </row>
        <row r="31">
          <cell r="A31" t="str">
            <v>D0249</v>
          </cell>
          <cell r="B31" t="str">
            <v>DP01A</v>
          </cell>
          <cell r="C31" t="str">
            <v>DP0</v>
          </cell>
          <cell r="D31" t="str">
            <v>EASIPHEN – pomaranč</v>
          </cell>
          <cell r="E31" t="str">
            <v>sol 1x250 ml</v>
          </cell>
          <cell r="F31">
            <v>240</v>
          </cell>
          <cell r="G31">
            <v>112800</v>
          </cell>
          <cell r="H31">
            <v>0</v>
          </cell>
          <cell r="I31" t="str">
            <v>4q2007</v>
          </cell>
        </row>
        <row r="32">
          <cell r="A32" t="str">
            <v>D0250</v>
          </cell>
          <cell r="B32" t="str">
            <v>DP01A</v>
          </cell>
          <cell r="C32" t="str">
            <v>DP0</v>
          </cell>
          <cell r="D32" t="str">
            <v>EASIPHEN lesné plody</v>
          </cell>
          <cell r="E32" t="str">
            <v>sol 1x250 ml</v>
          </cell>
          <cell r="F32">
            <v>760</v>
          </cell>
          <cell r="G32">
            <v>357200</v>
          </cell>
          <cell r="H32">
            <v>0</v>
          </cell>
          <cell r="I32" t="str">
            <v>4q2007</v>
          </cell>
        </row>
        <row r="33">
          <cell r="A33" t="str">
            <v>D0261</v>
          </cell>
          <cell r="B33" t="str">
            <v>DP01A</v>
          </cell>
          <cell r="C33" t="str">
            <v>DP0</v>
          </cell>
          <cell r="D33" t="str">
            <v>MILUPA lp-drink s čokoládovou príchuťou</v>
          </cell>
          <cell r="E33" t="str">
            <v>1 x 320 g</v>
          </cell>
          <cell r="F33">
            <v>14</v>
          </cell>
          <cell r="G33">
            <v>4494.1000000000004</v>
          </cell>
          <cell r="H33">
            <v>1925.3</v>
          </cell>
          <cell r="I33" t="str">
            <v>4q2007</v>
          </cell>
        </row>
        <row r="34">
          <cell r="A34" t="str">
            <v>D0262</v>
          </cell>
          <cell r="B34" t="str">
            <v>DP01A</v>
          </cell>
          <cell r="C34" t="str">
            <v>DP0</v>
          </cell>
          <cell r="D34" t="str">
            <v>MILUPA PKU 3 advanta   </v>
          </cell>
          <cell r="E34" t="str">
            <v>plv 1x500 g</v>
          </cell>
          <cell r="F34">
            <v>271</v>
          </cell>
          <cell r="G34">
            <v>2007736.8</v>
          </cell>
          <cell r="H34">
            <v>0</v>
          </cell>
          <cell r="I34" t="str">
            <v>4q2007</v>
          </cell>
        </row>
        <row r="35">
          <cell r="A35" t="str">
            <v>D0263</v>
          </cell>
          <cell r="B35" t="str">
            <v>DP01A</v>
          </cell>
          <cell r="C35" t="str">
            <v>DP0</v>
          </cell>
          <cell r="D35" t="str">
            <v>MILUPA PKU 3 activa rajčinová</v>
          </cell>
          <cell r="E35" t="str">
            <v>plv 1x45 g</v>
          </cell>
          <cell r="F35">
            <v>44</v>
          </cell>
          <cell r="G35">
            <v>13596</v>
          </cell>
          <cell r="H35">
            <v>484</v>
          </cell>
          <cell r="I35" t="str">
            <v>4q2007</v>
          </cell>
        </row>
        <row r="36">
          <cell r="A36" t="str">
            <v>D0264</v>
          </cell>
          <cell r="B36" t="str">
            <v>DP01A</v>
          </cell>
          <cell r="C36" t="str">
            <v>DP0</v>
          </cell>
          <cell r="D36" t="str">
            <v>MILUPA PKU 2 activa rajčinová     </v>
          </cell>
          <cell r="E36" t="str">
            <v>plv 1x45 g</v>
          </cell>
          <cell r="F36">
            <v>44</v>
          </cell>
          <cell r="G36">
            <v>13596</v>
          </cell>
          <cell r="H36">
            <v>484</v>
          </cell>
          <cell r="I36" t="str">
            <v>4q2007</v>
          </cell>
        </row>
        <row r="37">
          <cell r="A37" t="str">
            <v>D0265</v>
          </cell>
          <cell r="B37" t="str">
            <v>DP01A</v>
          </cell>
          <cell r="C37" t="str">
            <v>DP0</v>
          </cell>
          <cell r="D37" t="str">
            <v>MILUPA PKU 2 secunda      </v>
          </cell>
          <cell r="E37" t="str">
            <v>plv 1x500 g</v>
          </cell>
          <cell r="F37">
            <v>120</v>
          </cell>
          <cell r="G37">
            <v>884115.4</v>
          </cell>
          <cell r="H37">
            <v>0</v>
          </cell>
          <cell r="I37" t="str">
            <v>4q2007</v>
          </cell>
        </row>
        <row r="38">
          <cell r="A38" t="str">
            <v>D0266</v>
          </cell>
          <cell r="B38" t="str">
            <v>DP01A</v>
          </cell>
          <cell r="C38" t="str">
            <v>DP0</v>
          </cell>
          <cell r="D38" t="str">
            <v>EASIPHEN – tropické ovocie</v>
          </cell>
          <cell r="E38" t="str">
            <v>sol 1x250 ml</v>
          </cell>
          <cell r="F38">
            <v>340</v>
          </cell>
          <cell r="G38">
            <v>169200</v>
          </cell>
          <cell r="H38">
            <v>0</v>
          </cell>
          <cell r="I38" t="str">
            <v>4q2007</v>
          </cell>
        </row>
        <row r="39">
          <cell r="A39" t="str">
            <v>D0267</v>
          </cell>
          <cell r="B39" t="str">
            <v>DP01A</v>
          </cell>
          <cell r="C39" t="str">
            <v>DP0</v>
          </cell>
          <cell r="D39" t="str">
            <v>MILUPA PKU 2 prima</v>
          </cell>
          <cell r="E39" t="str">
            <v>plv 1x500 g</v>
          </cell>
          <cell r="F39">
            <v>77</v>
          </cell>
          <cell r="G39">
            <v>488561.4</v>
          </cell>
          <cell r="H39">
            <v>0</v>
          </cell>
          <cell r="I39" t="str">
            <v>4q2007</v>
          </cell>
        </row>
        <row r="40">
          <cell r="A40" t="str">
            <v>D0268</v>
          </cell>
          <cell r="B40" t="str">
            <v>DP01A</v>
          </cell>
          <cell r="C40" t="str">
            <v>DP0</v>
          </cell>
          <cell r="D40" t="str">
            <v>LOPHLEX pomaranč</v>
          </cell>
          <cell r="E40" t="str">
            <v>plv 1x27,8 g</v>
          </cell>
          <cell r="F40">
            <v>182</v>
          </cell>
          <cell r="G40">
            <v>107016</v>
          </cell>
          <cell r="H40">
            <v>364</v>
          </cell>
          <cell r="I40" t="str">
            <v>4q2007</v>
          </cell>
        </row>
        <row r="41">
          <cell r="A41" t="str">
            <v>D0269</v>
          </cell>
          <cell r="B41" t="str">
            <v>DP01A</v>
          </cell>
          <cell r="C41" t="str">
            <v>DP0</v>
          </cell>
          <cell r="D41" t="str">
            <v>LOPHLEX lesné ovocie</v>
          </cell>
          <cell r="E41" t="str">
            <v>plv 1x27,8 g</v>
          </cell>
          <cell r="F41">
            <v>291</v>
          </cell>
          <cell r="G41">
            <v>171108</v>
          </cell>
          <cell r="H41">
            <v>582</v>
          </cell>
          <cell r="I41" t="str">
            <v>4q2007</v>
          </cell>
        </row>
        <row r="42">
          <cell r="A42" t="str">
            <v>D0270</v>
          </cell>
          <cell r="B42" t="str">
            <v>DP01A</v>
          </cell>
          <cell r="C42" t="str">
            <v>DP0</v>
          </cell>
          <cell r="D42" t="str">
            <v>LOPHLEX</v>
          </cell>
          <cell r="E42" t="str">
            <v>plv 1x27,8 g</v>
          </cell>
          <cell r="F42">
            <v>61</v>
          </cell>
          <cell r="G42">
            <v>35868</v>
          </cell>
          <cell r="H42">
            <v>122</v>
          </cell>
          <cell r="I42" t="str">
            <v>4q2007</v>
          </cell>
        </row>
        <row r="43">
          <cell r="A43" t="str">
            <v>D0273</v>
          </cell>
          <cell r="B43" t="str">
            <v>DP01A</v>
          </cell>
          <cell r="C43" t="str">
            <v>DP0</v>
          </cell>
          <cell r="D43" t="str">
            <v>HARIFEN - nízkobielkovinové chrumkavé chlebíčky</v>
          </cell>
          <cell r="E43" t="str">
            <v>1 x 200 g</v>
          </cell>
          <cell r="F43">
            <v>2</v>
          </cell>
          <cell r="G43">
            <v>48</v>
          </cell>
          <cell r="H43">
            <v>348</v>
          </cell>
          <cell r="I43" t="str">
            <v>4q2007</v>
          </cell>
        </row>
        <row r="44">
          <cell r="A44" t="str">
            <v>D0275</v>
          </cell>
          <cell r="B44" t="str">
            <v>DP01A</v>
          </cell>
          <cell r="C44" t="str">
            <v>DP0</v>
          </cell>
          <cell r="D44" t="str">
            <v>HARIFEN - múka na nízkobielkoviný a bezlepkový chlieb a pečivo</v>
          </cell>
          <cell r="E44" t="str">
            <v>1 x 500 g</v>
          </cell>
          <cell r="F44">
            <v>10</v>
          </cell>
          <cell r="G44">
            <v>500</v>
          </cell>
          <cell r="H44">
            <v>1480</v>
          </cell>
          <cell r="I44" t="str">
            <v>4q2007</v>
          </cell>
        </row>
        <row r="45">
          <cell r="A45" t="str">
            <v>D0276</v>
          </cell>
          <cell r="B45" t="str">
            <v>DP01A</v>
          </cell>
          <cell r="C45" t="str">
            <v>DP0</v>
          </cell>
          <cell r="D45" t="str">
            <v>HARIFEN - nízkobielkovinové sušienky s príchťou (kakao, vanilka,karamel)</v>
          </cell>
          <cell r="E45" t="str">
            <v>1 x 125g</v>
          </cell>
          <cell r="F45">
            <v>25</v>
          </cell>
          <cell r="G45">
            <v>374</v>
          </cell>
          <cell r="H45">
            <v>3566</v>
          </cell>
          <cell r="I45" t="str">
            <v>4q2007</v>
          </cell>
        </row>
        <row r="46">
          <cell r="A46" t="str">
            <v>D0285</v>
          </cell>
          <cell r="B46" t="str">
            <v>DP01A</v>
          </cell>
          <cell r="C46" t="str">
            <v>DP0</v>
          </cell>
          <cell r="D46" t="str">
            <v>LOPROFIN low protein ryža</v>
          </cell>
          <cell r="E46" t="str">
            <v>1 x 500 g</v>
          </cell>
          <cell r="F46">
            <v>11</v>
          </cell>
          <cell r="G46">
            <v>659.9</v>
          </cell>
          <cell r="H46">
            <v>1715.7</v>
          </cell>
          <cell r="I46" t="str">
            <v>4q2007</v>
          </cell>
        </row>
        <row r="47">
          <cell r="B47" t="str">
            <v>DP01A Celkom</v>
          </cell>
          <cell r="F47">
            <v>12631</v>
          </cell>
          <cell r="G47">
            <v>18539398.699999999</v>
          </cell>
          <cell r="H47">
            <v>226954.49999999997</v>
          </cell>
        </row>
        <row r="48">
          <cell r="A48" t="str">
            <v>D0108</v>
          </cell>
          <cell r="B48" t="str">
            <v>DP01C</v>
          </cell>
          <cell r="C48" t="str">
            <v>DP0</v>
          </cell>
          <cell r="D48" t="str">
            <v>ILV-AM 2</v>
          </cell>
          <cell r="E48" t="str">
            <v>plv 1x400 g</v>
          </cell>
          <cell r="F48">
            <v>12</v>
          </cell>
          <cell r="G48">
            <v>79288.800000000003</v>
          </cell>
          <cell r="H48">
            <v>0</v>
          </cell>
          <cell r="I48" t="str">
            <v>4q2007</v>
          </cell>
        </row>
        <row r="49">
          <cell r="A49" t="str">
            <v>D0109</v>
          </cell>
          <cell r="B49" t="str">
            <v>DP01C</v>
          </cell>
          <cell r="C49" t="str">
            <v>DP0</v>
          </cell>
          <cell r="D49" t="str">
            <v>ILV-AM 3</v>
          </cell>
          <cell r="E49" t="str">
            <v>plv 1x400 g</v>
          </cell>
          <cell r="F49">
            <v>30</v>
          </cell>
          <cell r="G49">
            <v>198222</v>
          </cell>
          <cell r="H49">
            <v>0</v>
          </cell>
          <cell r="I49" t="str">
            <v>4q2007</v>
          </cell>
        </row>
        <row r="50">
          <cell r="B50" t="str">
            <v>DP01C Celkom</v>
          </cell>
          <cell r="F50">
            <v>42</v>
          </cell>
          <cell r="G50">
            <v>277510.8</v>
          </cell>
          <cell r="H50">
            <v>0</v>
          </cell>
        </row>
        <row r="51">
          <cell r="A51" t="str">
            <v>D0086</v>
          </cell>
          <cell r="B51" t="str">
            <v>DP01D</v>
          </cell>
          <cell r="C51" t="str">
            <v>DP0</v>
          </cell>
          <cell r="D51" t="str">
            <v>MILUPA HOM 2</v>
          </cell>
          <cell r="E51" t="str">
            <v>plv 1x500 g</v>
          </cell>
          <cell r="F51">
            <v>30</v>
          </cell>
          <cell r="G51">
            <v>207216</v>
          </cell>
          <cell r="H51">
            <v>0</v>
          </cell>
          <cell r="I51" t="str">
            <v>4q2007</v>
          </cell>
        </row>
        <row r="52">
          <cell r="A52" t="str">
            <v>D0106</v>
          </cell>
          <cell r="B52" t="str">
            <v>DP01D</v>
          </cell>
          <cell r="C52" t="str">
            <v>DP0</v>
          </cell>
          <cell r="D52" t="str">
            <v>M-AM 3</v>
          </cell>
          <cell r="E52" t="str">
            <v>plv 1x400 g</v>
          </cell>
          <cell r="F52">
            <v>101</v>
          </cell>
          <cell r="G52">
            <v>667347.4</v>
          </cell>
          <cell r="H52">
            <v>0</v>
          </cell>
          <cell r="I52" t="str">
            <v>4q2007</v>
          </cell>
        </row>
        <row r="53">
          <cell r="B53" t="str">
            <v>DP01D Celkom</v>
          </cell>
          <cell r="F53">
            <v>131</v>
          </cell>
          <cell r="G53">
            <v>874563.4</v>
          </cell>
          <cell r="H53">
            <v>0</v>
          </cell>
        </row>
        <row r="54">
          <cell r="A54" t="str">
            <v>D0095</v>
          </cell>
          <cell r="B54" t="str">
            <v>DP01E</v>
          </cell>
          <cell r="C54" t="str">
            <v>DP0</v>
          </cell>
          <cell r="D54" t="str">
            <v>LT-AM 2</v>
          </cell>
          <cell r="E54" t="str">
            <v>plv 1x400 g</v>
          </cell>
          <cell r="F54">
            <v>5</v>
          </cell>
          <cell r="G54">
            <v>37010.5</v>
          </cell>
          <cell r="H54">
            <v>0</v>
          </cell>
          <cell r="I54" t="str">
            <v>4q2007</v>
          </cell>
        </row>
        <row r="55">
          <cell r="B55" t="str">
            <v>DP01E Celkom</v>
          </cell>
          <cell r="F55">
            <v>5</v>
          </cell>
          <cell r="G55">
            <v>37010.5</v>
          </cell>
          <cell r="H55">
            <v>0</v>
          </cell>
        </row>
        <row r="56">
          <cell r="A56" t="str">
            <v>D0102</v>
          </cell>
          <cell r="B56" t="str">
            <v>DP01G</v>
          </cell>
          <cell r="C56" t="str">
            <v>DP0</v>
          </cell>
          <cell r="D56" t="str">
            <v>IMTV-AM 2</v>
          </cell>
          <cell r="E56" t="str">
            <v>plv 1x400 g</v>
          </cell>
          <cell r="F56">
            <v>14</v>
          </cell>
          <cell r="G56">
            <v>92503.6</v>
          </cell>
          <cell r="H56">
            <v>0</v>
          </cell>
          <cell r="I56" t="str">
            <v>4q2007</v>
          </cell>
        </row>
        <row r="57">
          <cell r="A57" t="str">
            <v>D0103</v>
          </cell>
          <cell r="B57" t="str">
            <v>DP01G</v>
          </cell>
          <cell r="C57" t="str">
            <v>DP0</v>
          </cell>
          <cell r="D57" t="str">
            <v>IMTV-AM 3</v>
          </cell>
          <cell r="E57" t="str">
            <v>plv 1x400 g</v>
          </cell>
          <cell r="F57">
            <v>11</v>
          </cell>
          <cell r="G57">
            <v>72681.399999999994</v>
          </cell>
          <cell r="H57">
            <v>0</v>
          </cell>
          <cell r="I57" t="str">
            <v>4q2007</v>
          </cell>
        </row>
        <row r="58">
          <cell r="A58" t="str">
            <v>D0196</v>
          </cell>
          <cell r="B58" t="str">
            <v>DP01G</v>
          </cell>
          <cell r="C58" t="str">
            <v>DP0</v>
          </cell>
          <cell r="D58" t="str">
            <v>IMTV-AM 1</v>
          </cell>
          <cell r="E58" t="str">
            <v>plv 1x400 g</v>
          </cell>
          <cell r="F58">
            <v>1</v>
          </cell>
          <cell r="G58">
            <v>5272.7</v>
          </cell>
          <cell r="H58">
            <v>0</v>
          </cell>
          <cell r="I58" t="str">
            <v>4q2007</v>
          </cell>
        </row>
        <row r="59">
          <cell r="A59" t="str">
            <v>D0247</v>
          </cell>
          <cell r="B59" t="str">
            <v>DP01G</v>
          </cell>
          <cell r="C59" t="str">
            <v>DP0</v>
          </cell>
          <cell r="D59" t="str">
            <v>MILUPA OS 2</v>
          </cell>
          <cell r="E59" t="str">
            <v>plv 1x500 g</v>
          </cell>
          <cell r="F59">
            <v>5</v>
          </cell>
          <cell r="G59">
            <v>29928.5</v>
          </cell>
          <cell r="H59">
            <v>12</v>
          </cell>
          <cell r="I59" t="str">
            <v>4q2007</v>
          </cell>
        </row>
        <row r="60">
          <cell r="B60" t="str">
            <v>DP01G Celkom</v>
          </cell>
          <cell r="F60">
            <v>31</v>
          </cell>
          <cell r="G60">
            <v>200386.2</v>
          </cell>
          <cell r="H60">
            <v>12</v>
          </cell>
        </row>
        <row r="61">
          <cell r="A61" t="str">
            <v>D0097</v>
          </cell>
          <cell r="B61" t="str">
            <v>DP01H</v>
          </cell>
          <cell r="C61" t="str">
            <v>DP0</v>
          </cell>
          <cell r="D61" t="str">
            <v>E-AM 2</v>
          </cell>
          <cell r="E61" t="str">
            <v>plv 1x400 g</v>
          </cell>
          <cell r="F61">
            <v>8</v>
          </cell>
          <cell r="G61">
            <v>56896</v>
          </cell>
          <cell r="H61">
            <v>0</v>
          </cell>
          <cell r="I61" t="str">
            <v>4q2007</v>
          </cell>
        </row>
        <row r="62">
          <cell r="B62" t="str">
            <v>DP01H Celkom</v>
          </cell>
          <cell r="F62">
            <v>8</v>
          </cell>
          <cell r="G62">
            <v>56896</v>
          </cell>
          <cell r="H62">
            <v>0</v>
          </cell>
        </row>
        <row r="63">
          <cell r="A63" t="str">
            <v>D0197</v>
          </cell>
          <cell r="B63" t="str">
            <v>DP01I</v>
          </cell>
          <cell r="C63" t="str">
            <v>DP0</v>
          </cell>
          <cell r="D63" t="str">
            <v>KETOCAL</v>
          </cell>
          <cell r="E63" t="str">
            <v>plv 1 x 300 g</v>
          </cell>
          <cell r="F63">
            <v>5</v>
          </cell>
          <cell r="G63">
            <v>8570</v>
          </cell>
          <cell r="H63">
            <v>175</v>
          </cell>
          <cell r="I63" t="str">
            <v>4q2007</v>
          </cell>
        </row>
        <row r="64">
          <cell r="A64" t="str">
            <v>D0198</v>
          </cell>
          <cell r="B64" t="str">
            <v>DP01I</v>
          </cell>
          <cell r="C64" t="str">
            <v>DP0</v>
          </cell>
          <cell r="D64" t="str">
            <v>KETOCAL - vanilka</v>
          </cell>
          <cell r="E64" t="str">
            <v>plv 1 x 300 g</v>
          </cell>
          <cell r="F64">
            <v>48</v>
          </cell>
          <cell r="G64">
            <v>70274</v>
          </cell>
          <cell r="H64">
            <v>1680</v>
          </cell>
          <cell r="I64" t="str">
            <v>4q2007</v>
          </cell>
        </row>
        <row r="65">
          <cell r="B65" t="str">
            <v>DP01I Celkom</v>
          </cell>
          <cell r="F65">
            <v>53</v>
          </cell>
          <cell r="G65">
            <v>78844</v>
          </cell>
          <cell r="H65">
            <v>1855</v>
          </cell>
        </row>
        <row r="66">
          <cell r="A66" t="str">
            <v>D0170</v>
          </cell>
          <cell r="B66" t="str">
            <v>DP01J</v>
          </cell>
          <cell r="C66" t="str">
            <v>DP0</v>
          </cell>
          <cell r="D66" t="str">
            <v>PROMIX-CH, zmes na prípravu bezlepkového chleba</v>
          </cell>
          <cell r="E66" t="str">
            <v>plv 1 x 1000 g</v>
          </cell>
          <cell r="F66">
            <v>13050</v>
          </cell>
          <cell r="G66">
            <v>1004875.44</v>
          </cell>
          <cell r="H66">
            <v>417144.88</v>
          </cell>
          <cell r="I66" t="str">
            <v>4q2007</v>
          </cell>
        </row>
        <row r="67">
          <cell r="A67" t="str">
            <v>D0171</v>
          </cell>
          <cell r="B67" t="str">
            <v>DP01J</v>
          </cell>
          <cell r="C67" t="str">
            <v>DP0</v>
          </cell>
          <cell r="D67" t="str">
            <v>PROMIX-PK, zmes na bezlepkové pečivo</v>
          </cell>
          <cell r="E67" t="str">
            <v>plv 1 x 1000 g</v>
          </cell>
          <cell r="F67">
            <v>9190</v>
          </cell>
          <cell r="G67">
            <v>710210.44</v>
          </cell>
          <cell r="H67">
            <v>293561.48</v>
          </cell>
          <cell r="I67" t="str">
            <v>4q2007</v>
          </cell>
        </row>
        <row r="68">
          <cell r="A68" t="str">
            <v>D0172</v>
          </cell>
          <cell r="B68" t="str">
            <v>DP01J</v>
          </cell>
          <cell r="C68" t="str">
            <v>DP0</v>
          </cell>
          <cell r="D68" t="str">
            <v>PROMIX-UNI, univerzálna bezlepková múka</v>
          </cell>
          <cell r="E68" t="str">
            <v>plv 1 x 1000 g</v>
          </cell>
          <cell r="F68">
            <v>15154</v>
          </cell>
          <cell r="G68">
            <v>1503615.78</v>
          </cell>
          <cell r="H68">
            <v>435825.6</v>
          </cell>
          <cell r="I68" t="str">
            <v>4q2007</v>
          </cell>
        </row>
        <row r="69">
          <cell r="A69" t="str">
            <v>D0173</v>
          </cell>
          <cell r="B69" t="str">
            <v>DP01J</v>
          </cell>
          <cell r="C69" t="str">
            <v>DP0</v>
          </cell>
          <cell r="D69" t="str">
            <v>PROMIX-T, univerzálna bezlepková múka tmavá</v>
          </cell>
          <cell r="E69" t="str">
            <v>plv 1 x 1000 g</v>
          </cell>
          <cell r="F69">
            <v>4758</v>
          </cell>
          <cell r="G69">
            <v>466024.1</v>
          </cell>
          <cell r="H69">
            <v>136797</v>
          </cell>
          <cell r="I69" t="str">
            <v>4q2007</v>
          </cell>
        </row>
        <row r="70">
          <cell r="A70" t="str">
            <v>D0175</v>
          </cell>
          <cell r="B70" t="str">
            <v>DP01J</v>
          </cell>
          <cell r="C70" t="str">
            <v>DP0</v>
          </cell>
          <cell r="D70" t="str">
            <v>KRUPICA bezlepková</v>
          </cell>
          <cell r="E70" t="str">
            <v>plv 1 x 500 g</v>
          </cell>
          <cell r="F70">
            <v>1658</v>
          </cell>
          <cell r="G70">
            <v>82590</v>
          </cell>
          <cell r="H70">
            <v>86289.5</v>
          </cell>
          <cell r="I70" t="str">
            <v>4q2007</v>
          </cell>
        </row>
        <row r="71">
          <cell r="A71" t="str">
            <v>D0180</v>
          </cell>
          <cell r="B71" t="str">
            <v>DP01J</v>
          </cell>
          <cell r="C71" t="str">
            <v>DP0</v>
          </cell>
          <cell r="D71" t="str">
            <v>PROCEL – bezlepkové cestoviny</v>
          </cell>
          <cell r="E71" t="str">
            <v>1x250 g</v>
          </cell>
          <cell r="F71">
            <v>30651</v>
          </cell>
          <cell r="G71">
            <v>1013093.68</v>
          </cell>
          <cell r="H71">
            <v>1019819.48</v>
          </cell>
          <cell r="I71" t="str">
            <v>4q2007</v>
          </cell>
        </row>
        <row r="72">
          <cell r="A72" t="str">
            <v>D0185</v>
          </cell>
          <cell r="B72" t="str">
            <v>DP01J</v>
          </cell>
          <cell r="C72" t="str">
            <v>DP0</v>
          </cell>
          <cell r="D72" t="str">
            <v>Chlieb bezlepkový svetlý (trvanlivý)</v>
          </cell>
          <cell r="E72" t="str">
            <v>1x360 g</v>
          </cell>
          <cell r="F72">
            <v>939</v>
          </cell>
          <cell r="G72">
            <v>43571.4</v>
          </cell>
          <cell r="H72">
            <v>41583.9</v>
          </cell>
          <cell r="I72" t="str">
            <v>4q2007</v>
          </cell>
        </row>
        <row r="73">
          <cell r="A73" t="str">
            <v>D0188</v>
          </cell>
          <cell r="B73" t="str">
            <v>DP01J</v>
          </cell>
          <cell r="C73" t="str">
            <v>DP0</v>
          </cell>
          <cell r="D73" t="str">
            <v>BEZLEPKOVÝ CHLIEB mazanec</v>
          </cell>
          <cell r="E73" t="str">
            <v>plv 1x500 g</v>
          </cell>
          <cell r="F73">
            <v>508</v>
          </cell>
          <cell r="G73">
            <v>19793.5</v>
          </cell>
          <cell r="H73">
            <v>6192.1</v>
          </cell>
          <cell r="I73" t="str">
            <v>4q2007</v>
          </cell>
        </row>
        <row r="74">
          <cell r="A74" t="str">
            <v>D0189</v>
          </cell>
          <cell r="B74" t="str">
            <v>DP01J</v>
          </cell>
          <cell r="C74" t="str">
            <v>DP0</v>
          </cell>
          <cell r="D74" t="str">
            <v>BEZLEPKOVÝ CHLIEB tmavý</v>
          </cell>
          <cell r="E74" t="str">
            <v>plv 1x500 g</v>
          </cell>
          <cell r="F74">
            <v>1459</v>
          </cell>
          <cell r="G74">
            <v>56718.7</v>
          </cell>
          <cell r="H74">
            <v>17718.5</v>
          </cell>
          <cell r="I74" t="str">
            <v>4q2007</v>
          </cell>
        </row>
        <row r="75">
          <cell r="A75" t="str">
            <v>D0190</v>
          </cell>
          <cell r="B75" t="str">
            <v>DP01J</v>
          </cell>
          <cell r="C75" t="str">
            <v>DP0</v>
          </cell>
          <cell r="D75" t="str">
            <v>BEZLEPKOVÝ CHLIEB svetlý</v>
          </cell>
          <cell r="E75" t="str">
            <v>plv 1x500 g</v>
          </cell>
          <cell r="F75">
            <v>1011</v>
          </cell>
          <cell r="G75">
            <v>38854.400000000001</v>
          </cell>
          <cell r="H75">
            <v>12133.6</v>
          </cell>
          <cell r="I75" t="str">
            <v>4q2007</v>
          </cell>
        </row>
        <row r="76">
          <cell r="A76" t="str">
            <v>D0194</v>
          </cell>
          <cell r="B76" t="str">
            <v>DP01J</v>
          </cell>
          <cell r="C76" t="str">
            <v>DP0</v>
          </cell>
          <cell r="D76" t="str">
            <v>PROMIX-FORTE, silná bezlepková múka</v>
          </cell>
          <cell r="E76" t="str">
            <v>plv 1 x 1000 g</v>
          </cell>
          <cell r="F76">
            <v>4213</v>
          </cell>
          <cell r="G76">
            <v>416731.2</v>
          </cell>
          <cell r="H76">
            <v>249913.4</v>
          </cell>
          <cell r="I76" t="str">
            <v>4q2007</v>
          </cell>
        </row>
        <row r="77">
          <cell r="A77" t="str">
            <v>D0251</v>
          </cell>
          <cell r="B77" t="str">
            <v>DP01J</v>
          </cell>
          <cell r="C77" t="str">
            <v>DP0</v>
          </cell>
          <cell r="D77" t="str">
            <v>Chlieb bezlepkový tmavý (trvanlivý)</v>
          </cell>
          <cell r="E77" t="str">
            <v>1x360 g</v>
          </cell>
          <cell r="F77">
            <v>869</v>
          </cell>
          <cell r="G77">
            <v>40705.800000000003</v>
          </cell>
          <cell r="H77">
            <v>38989.699999999997</v>
          </cell>
          <cell r="I77" t="str">
            <v>4q2007</v>
          </cell>
        </row>
        <row r="78">
          <cell r="A78" t="str">
            <v>D0252</v>
          </cell>
          <cell r="B78" t="str">
            <v>DP01J</v>
          </cell>
          <cell r="C78" t="str">
            <v>DP0</v>
          </cell>
          <cell r="D78" t="str">
            <v>Limky -diétne keksy vanilkové máčané (bezlepkové)</v>
          </cell>
          <cell r="E78" t="str">
            <v>1x150 g</v>
          </cell>
          <cell r="F78">
            <v>462</v>
          </cell>
          <cell r="G78">
            <v>2956.2</v>
          </cell>
          <cell r="H78">
            <v>25353</v>
          </cell>
          <cell r="I78" t="str">
            <v>4q2007</v>
          </cell>
        </row>
        <row r="79">
          <cell r="A79" t="str">
            <v>D0253</v>
          </cell>
          <cell r="B79" t="str">
            <v>DP01J</v>
          </cell>
          <cell r="C79" t="str">
            <v>DP0</v>
          </cell>
          <cell r="D79" t="str">
            <v>Limky -diétne keksy kakaové plnené (bezlepkové)</v>
          </cell>
          <cell r="E79" t="str">
            <v>1x150 g</v>
          </cell>
          <cell r="F79">
            <v>676</v>
          </cell>
          <cell r="G79">
            <v>4318.5</v>
          </cell>
          <cell r="H79">
            <v>37039.1</v>
          </cell>
          <cell r="I79" t="str">
            <v>4q2007</v>
          </cell>
        </row>
        <row r="80">
          <cell r="A80" t="str">
            <v>D0254</v>
          </cell>
          <cell r="B80" t="str">
            <v>DP01J</v>
          </cell>
          <cell r="C80" t="str">
            <v>DP0</v>
          </cell>
          <cell r="D80" t="str">
            <v>Strúhanka bezlepková pečivová</v>
          </cell>
          <cell r="E80" t="str">
            <v>plv 1x350 g</v>
          </cell>
          <cell r="F80">
            <v>3853</v>
          </cell>
          <cell r="G80">
            <v>133778.07999999999</v>
          </cell>
          <cell r="H80">
            <v>182760.9</v>
          </cell>
          <cell r="I80" t="str">
            <v>4q2007</v>
          </cell>
        </row>
        <row r="81">
          <cell r="A81" t="str">
            <v>D0256</v>
          </cell>
          <cell r="B81" t="str">
            <v>DP01J</v>
          </cell>
          <cell r="C81" t="str">
            <v>DP0</v>
          </cell>
          <cell r="D81" t="str">
            <v>Cícerová múka instantná</v>
          </cell>
          <cell r="E81" t="str">
            <v>plv 1x500 g</v>
          </cell>
          <cell r="F81">
            <v>22</v>
          </cell>
          <cell r="G81">
            <v>858</v>
          </cell>
          <cell r="H81">
            <v>945.9</v>
          </cell>
          <cell r="I81" t="str">
            <v>4q2007</v>
          </cell>
        </row>
        <row r="82">
          <cell r="A82" t="str">
            <v>D0271</v>
          </cell>
          <cell r="B82" t="str">
            <v>DP01J</v>
          </cell>
          <cell r="C82" t="str">
            <v>DP0</v>
          </cell>
          <cell r="D82" t="str">
            <v>Linia natural</v>
          </cell>
          <cell r="E82" t="str">
            <v>375 g</v>
          </cell>
          <cell r="F82">
            <v>41</v>
          </cell>
          <cell r="G82">
            <v>2008.9</v>
          </cell>
          <cell r="H82">
            <v>1505.4</v>
          </cell>
          <cell r="I82" t="str">
            <v>4q2007</v>
          </cell>
        </row>
        <row r="83">
          <cell r="A83" t="str">
            <v>D0272</v>
          </cell>
          <cell r="B83" t="str">
            <v>DP01J</v>
          </cell>
          <cell r="C83" t="str">
            <v>DP0</v>
          </cell>
          <cell r="D83" t="str">
            <v>Knedľa bezlepková v prášku</v>
          </cell>
          <cell r="E83" t="str">
            <v>plv 250 g</v>
          </cell>
          <cell r="F83">
            <v>680</v>
          </cell>
          <cell r="G83">
            <v>13182.5</v>
          </cell>
          <cell r="H83">
            <v>11226.4</v>
          </cell>
          <cell r="I83" t="str">
            <v>4q2007</v>
          </cell>
        </row>
        <row r="84">
          <cell r="A84" t="str">
            <v>D0289</v>
          </cell>
          <cell r="B84" t="str">
            <v>DP01J</v>
          </cell>
          <cell r="C84" t="str">
            <v>DP0</v>
          </cell>
          <cell r="D84" t="str">
            <v>Bezgluténové musli</v>
          </cell>
          <cell r="E84" t="str">
            <v>375 g</v>
          </cell>
          <cell r="F84">
            <v>224</v>
          </cell>
          <cell r="G84">
            <v>3321.1</v>
          </cell>
          <cell r="H84">
            <v>29841.3</v>
          </cell>
          <cell r="I84" t="str">
            <v>4q2007</v>
          </cell>
        </row>
        <row r="85">
          <cell r="A85" t="str">
            <v>D0290</v>
          </cell>
          <cell r="B85" t="str">
            <v>DP01J</v>
          </cell>
          <cell r="C85" t="str">
            <v>DP0</v>
          </cell>
          <cell r="D85" t="str">
            <v>Pan Carré - bezlepkový biely chlieb</v>
          </cell>
          <cell r="E85" t="str">
            <v>400 g</v>
          </cell>
          <cell r="F85">
            <v>3458</v>
          </cell>
          <cell r="G85">
            <v>169474.1</v>
          </cell>
          <cell r="H85">
            <v>217089.7</v>
          </cell>
          <cell r="I85" t="str">
            <v>4q2007</v>
          </cell>
        </row>
        <row r="86">
          <cell r="A86" t="str">
            <v>D0291</v>
          </cell>
          <cell r="B86" t="str">
            <v>DP01J</v>
          </cell>
          <cell r="C86" t="str">
            <v>DP0</v>
          </cell>
          <cell r="D86" t="str">
            <v>Rustico - bezlepkový plnozrnný chlieb</v>
          </cell>
          <cell r="E86" t="str">
            <v>400 g</v>
          </cell>
          <cell r="F86">
            <v>1357</v>
          </cell>
          <cell r="G86">
            <v>66336.2</v>
          </cell>
          <cell r="H86">
            <v>101447.8</v>
          </cell>
          <cell r="I86" t="str">
            <v>4q2007</v>
          </cell>
        </row>
        <row r="87">
          <cell r="A87" t="str">
            <v>D0292</v>
          </cell>
          <cell r="B87" t="str">
            <v>DP01J</v>
          </cell>
          <cell r="C87" t="str">
            <v>DP0</v>
          </cell>
          <cell r="D87" t="str">
            <v>Panini - bezlepkové biele žemle</v>
          </cell>
          <cell r="E87" t="str">
            <v>200 g</v>
          </cell>
          <cell r="F87">
            <v>1794</v>
          </cell>
          <cell r="G87">
            <v>44113.3</v>
          </cell>
          <cell r="H87">
            <v>92668.4</v>
          </cell>
          <cell r="I87" t="str">
            <v>4q2007</v>
          </cell>
        </row>
        <row r="88">
          <cell r="A88" t="str">
            <v>D0293</v>
          </cell>
          <cell r="B88" t="str">
            <v>DP01J</v>
          </cell>
          <cell r="C88" t="str">
            <v>DP0</v>
          </cell>
          <cell r="D88" t="str">
            <v>Bon Matin - bezlepkové sladké žemle</v>
          </cell>
          <cell r="E88" t="str">
            <v>200 g</v>
          </cell>
          <cell r="F88">
            <v>2880</v>
          </cell>
          <cell r="G88">
            <v>70658.2</v>
          </cell>
          <cell r="H88">
            <v>183020.1</v>
          </cell>
          <cell r="I88" t="str">
            <v>4q2007</v>
          </cell>
        </row>
        <row r="89">
          <cell r="A89" t="str">
            <v>D0294</v>
          </cell>
          <cell r="B89" t="str">
            <v>DP01J</v>
          </cell>
          <cell r="C89" t="str">
            <v>DP0</v>
          </cell>
          <cell r="D89" t="str">
            <v>Spaghetti - bezlepkové cestoviny</v>
          </cell>
          <cell r="E89" t="str">
            <v>500 g</v>
          </cell>
          <cell r="F89">
            <v>991</v>
          </cell>
          <cell r="G89">
            <v>60832.3</v>
          </cell>
          <cell r="H89">
            <v>65636.800000000003</v>
          </cell>
          <cell r="I89" t="str">
            <v>4q2007</v>
          </cell>
        </row>
        <row r="90">
          <cell r="A90" t="str">
            <v>D0295</v>
          </cell>
          <cell r="B90" t="str">
            <v>DP01J</v>
          </cell>
          <cell r="C90" t="str">
            <v>DP0</v>
          </cell>
          <cell r="D90" t="str">
            <v>Fusilli - bezlepkové cestoviny</v>
          </cell>
          <cell r="E90" t="str">
            <v>500 g</v>
          </cell>
          <cell r="F90">
            <v>918</v>
          </cell>
          <cell r="G90">
            <v>56109.9</v>
          </cell>
          <cell r="H90">
            <v>60770.400000000001</v>
          </cell>
          <cell r="I90" t="str">
            <v>4q2007</v>
          </cell>
        </row>
        <row r="91">
          <cell r="A91" t="str">
            <v>D0296</v>
          </cell>
          <cell r="B91" t="str">
            <v>DP01J</v>
          </cell>
          <cell r="C91" t="str">
            <v>DP0</v>
          </cell>
          <cell r="D91" t="str">
            <v>Quadritos - bezlepkové kakaové oblátky</v>
          </cell>
          <cell r="E91" t="str">
            <v>40 g</v>
          </cell>
          <cell r="F91">
            <v>281</v>
          </cell>
          <cell r="G91">
            <v>1040</v>
          </cell>
          <cell r="H91">
            <v>9725.2999999999993</v>
          </cell>
          <cell r="I91" t="str">
            <v>4q2007</v>
          </cell>
        </row>
        <row r="92">
          <cell r="A92" t="str">
            <v>D0297</v>
          </cell>
          <cell r="B92" t="str">
            <v>DP01J</v>
          </cell>
          <cell r="C92" t="str">
            <v>DP0</v>
          </cell>
          <cell r="D92" t="str">
            <v>Salinis - bezlepkové praclíky</v>
          </cell>
          <cell r="E92" t="str">
            <v>60 g</v>
          </cell>
          <cell r="F92">
            <v>804</v>
          </cell>
          <cell r="G92">
            <v>3188</v>
          </cell>
          <cell r="H92">
            <v>29211.5</v>
          </cell>
          <cell r="I92" t="str">
            <v>4q2007</v>
          </cell>
        </row>
        <row r="93">
          <cell r="A93" t="str">
            <v>D0298</v>
          </cell>
          <cell r="B93" t="str">
            <v>DP01J</v>
          </cell>
          <cell r="C93" t="str">
            <v>DP0</v>
          </cell>
          <cell r="D93" t="str">
            <v>Mix B - bezlepková zmes na prípravu chleba</v>
          </cell>
          <cell r="E93" t="str">
            <v>plv 1000 g</v>
          </cell>
          <cell r="F93">
            <v>2331</v>
          </cell>
          <cell r="G93">
            <v>166445.29999999999</v>
          </cell>
          <cell r="H93">
            <v>196894.1</v>
          </cell>
          <cell r="I93" t="str">
            <v>4q2007</v>
          </cell>
        </row>
        <row r="94">
          <cell r="A94" t="str">
            <v>D0299</v>
          </cell>
          <cell r="B94" t="str">
            <v>DP01J</v>
          </cell>
          <cell r="C94" t="str">
            <v>DP0</v>
          </cell>
          <cell r="D94" t="str">
            <v>Bezlepkové sušienky</v>
          </cell>
          <cell r="E94" t="str">
            <v>350 g</v>
          </cell>
          <cell r="F94">
            <v>194</v>
          </cell>
          <cell r="G94">
            <v>837.1</v>
          </cell>
          <cell r="H94">
            <v>7540.8</v>
          </cell>
          <cell r="I94" t="str">
            <v>4q2007</v>
          </cell>
        </row>
        <row r="95">
          <cell r="B95" t="str">
            <v>DP01J Celkom</v>
          </cell>
          <cell r="F95">
            <v>104426</v>
          </cell>
          <cell r="G95">
            <v>6196242.120000001</v>
          </cell>
          <cell r="H95">
            <v>4008646.0399999991</v>
          </cell>
        </row>
        <row r="96">
          <cell r="A96" t="str">
            <v>D0002</v>
          </cell>
          <cell r="B96" t="str">
            <v>DP02A</v>
          </cell>
          <cell r="C96" t="str">
            <v>DP0</v>
          </cell>
          <cell r="D96" t="str">
            <v>ENSURE, čokoládová príchuť</v>
          </cell>
          <cell r="E96" t="str">
            <v>sol 1x250 ml</v>
          </cell>
          <cell r="F96">
            <v>30</v>
          </cell>
          <cell r="G96">
            <v>1338</v>
          </cell>
          <cell r="H96">
            <v>849.6</v>
          </cell>
          <cell r="I96" t="str">
            <v>4q2007</v>
          </cell>
        </row>
        <row r="97">
          <cell r="A97" t="str">
            <v>D0011</v>
          </cell>
          <cell r="B97" t="str">
            <v>DP02A</v>
          </cell>
          <cell r="C97" t="str">
            <v>DP0</v>
          </cell>
          <cell r="D97" t="str">
            <v>PAEDIASURE, vanilková príchuť</v>
          </cell>
          <cell r="E97" t="str">
            <v>sol 1x200 ml</v>
          </cell>
          <cell r="F97">
            <v>10</v>
          </cell>
          <cell r="G97">
            <v>356</v>
          </cell>
          <cell r="H97">
            <v>147</v>
          </cell>
          <cell r="I97" t="str">
            <v>4q2007</v>
          </cell>
        </row>
        <row r="98">
          <cell r="A98" t="str">
            <v>D0025</v>
          </cell>
          <cell r="B98" t="str">
            <v>DP02A</v>
          </cell>
          <cell r="C98" t="str">
            <v>DP0</v>
          </cell>
          <cell r="D98" t="str">
            <v>FRESUBIN ORIGINAL, príchuť neutrálna</v>
          </cell>
          <cell r="E98" t="str">
            <v>sol 1x500 ml</v>
          </cell>
          <cell r="F98">
            <v>518</v>
          </cell>
          <cell r="G98">
            <v>46099.4</v>
          </cell>
          <cell r="H98">
            <v>0</v>
          </cell>
          <cell r="I98" t="str">
            <v>4q2007</v>
          </cell>
        </row>
        <row r="99">
          <cell r="A99" t="str">
            <v>D0026</v>
          </cell>
          <cell r="B99" t="str">
            <v>DP02A</v>
          </cell>
          <cell r="C99" t="str">
            <v>DP0</v>
          </cell>
          <cell r="D99" t="str">
            <v>FRESUBIN ORIGINAL, príchuť oriešková</v>
          </cell>
          <cell r="E99" t="str">
            <v>sol 1x500 ml</v>
          </cell>
          <cell r="F99">
            <v>131</v>
          </cell>
          <cell r="G99">
            <v>11021</v>
          </cell>
          <cell r="H99">
            <v>0</v>
          </cell>
          <cell r="I99" t="str">
            <v>4q2007</v>
          </cell>
        </row>
        <row r="100">
          <cell r="A100" t="str">
            <v>D0027</v>
          </cell>
          <cell r="B100" t="str">
            <v>DP02A</v>
          </cell>
          <cell r="C100" t="str">
            <v>DP0</v>
          </cell>
          <cell r="D100" t="str">
            <v>FRESUBIN ORIGINAL, príchuť čokoládová</v>
          </cell>
          <cell r="E100" t="str">
            <v>sol 1x500 ml</v>
          </cell>
          <cell r="F100">
            <v>950</v>
          </cell>
          <cell r="G100">
            <v>84624</v>
          </cell>
          <cell r="H100">
            <v>0</v>
          </cell>
          <cell r="I100" t="str">
            <v>4q2007</v>
          </cell>
        </row>
        <row r="101">
          <cell r="A101" t="str">
            <v>D0028</v>
          </cell>
          <cell r="B101" t="str">
            <v>DP02A</v>
          </cell>
          <cell r="C101" t="str">
            <v>DP0</v>
          </cell>
          <cell r="D101" t="str">
            <v>FRESUBIN ORIGINAL, príchuť vanilková</v>
          </cell>
          <cell r="E101" t="str">
            <v>sol 1x500 ml</v>
          </cell>
          <cell r="F101">
            <v>150</v>
          </cell>
          <cell r="G101">
            <v>13307.5</v>
          </cell>
          <cell r="H101">
            <v>0</v>
          </cell>
          <cell r="I101" t="str">
            <v>4q2007</v>
          </cell>
        </row>
        <row r="102">
          <cell r="A102" t="str">
            <v>D0029</v>
          </cell>
          <cell r="B102" t="str">
            <v>DP02A</v>
          </cell>
          <cell r="C102" t="str">
            <v>DP0</v>
          </cell>
          <cell r="D102" t="str">
            <v>FRESUBIN ORIGINAL, príchuť broskyňová</v>
          </cell>
          <cell r="E102" t="str">
            <v>sol 1x500 ml</v>
          </cell>
          <cell r="F102">
            <v>204</v>
          </cell>
          <cell r="G102">
            <v>18052.599999999999</v>
          </cell>
          <cell r="H102">
            <v>0</v>
          </cell>
          <cell r="I102" t="str">
            <v>4q2007</v>
          </cell>
        </row>
        <row r="103">
          <cell r="A103" t="str">
            <v>D0030</v>
          </cell>
          <cell r="B103" t="str">
            <v>DP02A</v>
          </cell>
          <cell r="C103" t="str">
            <v>DP0</v>
          </cell>
          <cell r="D103" t="str">
            <v>FRESUBIN ORIGINAL DRINK, príchuť oriešková</v>
          </cell>
          <cell r="E103" t="str">
            <v>sol 1x200 ml</v>
          </cell>
          <cell r="F103">
            <v>225</v>
          </cell>
          <cell r="G103">
            <v>8010</v>
          </cell>
          <cell r="H103">
            <v>22.5</v>
          </cell>
          <cell r="I103" t="str">
            <v>4q2007</v>
          </cell>
        </row>
        <row r="104">
          <cell r="A104" t="str">
            <v>D0031</v>
          </cell>
          <cell r="B104" t="str">
            <v>DP02A</v>
          </cell>
          <cell r="C104" t="str">
            <v>DP0</v>
          </cell>
          <cell r="D104" t="str">
            <v>FRESUBIN ORIGINAL DRINK, príchuť čokoládová</v>
          </cell>
          <cell r="E104" t="str">
            <v>sol 1x200 ml</v>
          </cell>
          <cell r="F104">
            <v>1401</v>
          </cell>
          <cell r="G104">
            <v>49778.8</v>
          </cell>
          <cell r="H104">
            <v>140.1</v>
          </cell>
          <cell r="I104" t="str">
            <v>4q2007</v>
          </cell>
        </row>
        <row r="105">
          <cell r="A105" t="str">
            <v>D0032</v>
          </cell>
          <cell r="B105" t="str">
            <v>DP02A</v>
          </cell>
          <cell r="C105" t="str">
            <v>DP0</v>
          </cell>
          <cell r="D105" t="str">
            <v>FRESUBIN ORIGINAL DRINK, príchuť vanilková</v>
          </cell>
          <cell r="E105" t="str">
            <v>sol 1x200 ml</v>
          </cell>
          <cell r="F105">
            <v>797</v>
          </cell>
          <cell r="G105">
            <v>28363.200000000001</v>
          </cell>
          <cell r="H105">
            <v>79.7</v>
          </cell>
          <cell r="I105" t="str">
            <v>4q2007</v>
          </cell>
        </row>
        <row r="106">
          <cell r="A106" t="str">
            <v>D0033</v>
          </cell>
          <cell r="B106" t="str">
            <v>DP02A</v>
          </cell>
          <cell r="C106" t="str">
            <v>DP0</v>
          </cell>
          <cell r="D106" t="str">
            <v>FRESUBIN ORIGINAL DRINK, príchuť broskyňová</v>
          </cell>
          <cell r="E106" t="str">
            <v>sol 1x200 ml</v>
          </cell>
          <cell r="F106">
            <v>660</v>
          </cell>
          <cell r="G106">
            <v>23492</v>
          </cell>
          <cell r="H106">
            <v>66</v>
          </cell>
          <cell r="I106" t="str">
            <v>4q2007</v>
          </cell>
        </row>
        <row r="107">
          <cell r="A107" t="str">
            <v>D0034</v>
          </cell>
          <cell r="B107" t="str">
            <v>DP02A</v>
          </cell>
          <cell r="C107" t="str">
            <v>DP0</v>
          </cell>
          <cell r="D107" t="str">
            <v>FRESUBIN ORIGINAL DRINK, príchuť lesné plody</v>
          </cell>
          <cell r="E107" t="str">
            <v>sol 1x200 ml</v>
          </cell>
          <cell r="F107">
            <v>30</v>
          </cell>
          <cell r="G107">
            <v>1068</v>
          </cell>
          <cell r="H107">
            <v>3</v>
          </cell>
          <cell r="I107" t="str">
            <v>4q2007</v>
          </cell>
        </row>
        <row r="108">
          <cell r="A108" t="str">
            <v>D0069</v>
          </cell>
          <cell r="B108" t="str">
            <v>DP02A</v>
          </cell>
          <cell r="C108" t="str">
            <v>DP0</v>
          </cell>
          <cell r="D108" t="str">
            <v>NUTRINI</v>
          </cell>
          <cell r="E108" t="str">
            <v>sol 1x200 ml</v>
          </cell>
          <cell r="F108">
            <v>2048</v>
          </cell>
          <cell r="G108">
            <v>76254.7</v>
          </cell>
          <cell r="H108">
            <v>29740.6</v>
          </cell>
          <cell r="I108" t="str">
            <v>4q2007</v>
          </cell>
        </row>
        <row r="109">
          <cell r="A109" t="str">
            <v>D0071</v>
          </cell>
          <cell r="B109" t="str">
            <v>DP02A</v>
          </cell>
          <cell r="C109" t="str">
            <v>DP0</v>
          </cell>
          <cell r="D109" t="str">
            <v>NUTRISON STANDARD</v>
          </cell>
          <cell r="E109" t="str">
            <v>sol 1x500 ml</v>
          </cell>
          <cell r="F109">
            <v>4420</v>
          </cell>
          <cell r="G109">
            <v>397786.1</v>
          </cell>
          <cell r="H109">
            <v>35711.599999999999</v>
          </cell>
          <cell r="I109" t="str">
            <v>4q2007</v>
          </cell>
        </row>
        <row r="110">
          <cell r="A110" t="str">
            <v>D0072</v>
          </cell>
          <cell r="B110" t="str">
            <v>DP02A</v>
          </cell>
          <cell r="C110" t="str">
            <v>DP0</v>
          </cell>
          <cell r="D110" t="str">
            <v>NUTRISON POWDER</v>
          </cell>
          <cell r="E110" t="str">
            <v>plv 1x430 g</v>
          </cell>
          <cell r="F110">
            <v>2503</v>
          </cell>
          <cell r="G110">
            <v>520929.2</v>
          </cell>
          <cell r="H110">
            <v>25958.9</v>
          </cell>
          <cell r="I110" t="str">
            <v>4q2007</v>
          </cell>
        </row>
        <row r="111">
          <cell r="A111" t="str">
            <v>D0145</v>
          </cell>
          <cell r="B111" t="str">
            <v>DP02A</v>
          </cell>
          <cell r="C111" t="str">
            <v>DP0</v>
          </cell>
          <cell r="D111" t="str">
            <v>ENSURE prášok</v>
          </cell>
          <cell r="E111" t="str">
            <v>plv 1x380 g</v>
          </cell>
          <cell r="F111">
            <v>85</v>
          </cell>
          <cell r="G111">
            <v>3770.9</v>
          </cell>
          <cell r="H111">
            <v>246.5</v>
          </cell>
          <cell r="I111" t="str">
            <v>4q2007</v>
          </cell>
        </row>
        <row r="112">
          <cell r="A112" t="str">
            <v>D0238</v>
          </cell>
          <cell r="B112" t="str">
            <v>DP02A</v>
          </cell>
          <cell r="C112" t="str">
            <v>DP0</v>
          </cell>
          <cell r="D112" t="str">
            <v>Clinutren OPTIMUM VANILLA</v>
          </cell>
          <cell r="E112" t="str">
            <v>plv 1x400 g</v>
          </cell>
          <cell r="F112">
            <v>87</v>
          </cell>
          <cell r="G112">
            <v>17001.5</v>
          </cell>
          <cell r="H112">
            <v>4706.3999999999996</v>
          </cell>
          <cell r="I112" t="str">
            <v>4q2007</v>
          </cell>
        </row>
        <row r="113">
          <cell r="A113" t="str">
            <v>D0241</v>
          </cell>
          <cell r="B113" t="str">
            <v>DP02A</v>
          </cell>
          <cell r="C113" t="str">
            <v>DP0</v>
          </cell>
          <cell r="D113" t="str">
            <v>Clinutren JUNIOR VANILLA</v>
          </cell>
          <cell r="E113" t="str">
            <v>plv 1x400 g</v>
          </cell>
          <cell r="F113">
            <v>3</v>
          </cell>
          <cell r="G113">
            <v>587.4</v>
          </cell>
          <cell r="H113">
            <v>786.6</v>
          </cell>
          <cell r="I113" t="str">
            <v>4q2007</v>
          </cell>
        </row>
        <row r="114">
          <cell r="A114" t="str">
            <v>D0300</v>
          </cell>
          <cell r="B114" t="str">
            <v>DP02A</v>
          </cell>
          <cell r="C114" t="str">
            <v>DP0</v>
          </cell>
          <cell r="D114" t="str">
            <v>Osmeral basic</v>
          </cell>
          <cell r="E114" t="str">
            <v>plv 2x325 g</v>
          </cell>
          <cell r="F114">
            <v>60</v>
          </cell>
          <cell r="G114">
            <v>19092</v>
          </cell>
          <cell r="H114">
            <v>108</v>
          </cell>
          <cell r="I114" t="str">
            <v>4q2007</v>
          </cell>
        </row>
        <row r="115">
          <cell r="A115" t="str">
            <v>D0301</v>
          </cell>
          <cell r="B115" t="str">
            <v>DP02A</v>
          </cell>
          <cell r="C115" t="str">
            <v>DP0</v>
          </cell>
          <cell r="D115" t="str">
            <v>OSMERAL SN neutral</v>
          </cell>
          <cell r="E115" t="str">
            <v>sol 1x500 ml</v>
          </cell>
          <cell r="F115">
            <v>60</v>
          </cell>
          <cell r="G115">
            <v>5346</v>
          </cell>
          <cell r="H115">
            <v>1908.2</v>
          </cell>
          <cell r="I115" t="str">
            <v>4q2007</v>
          </cell>
        </row>
        <row r="116">
          <cell r="A116" t="str">
            <v>D0302</v>
          </cell>
          <cell r="B116" t="str">
            <v>DP02A</v>
          </cell>
          <cell r="C116" t="str">
            <v>DP0</v>
          </cell>
          <cell r="D116" t="str">
            <v>OSMERAL SN malina</v>
          </cell>
          <cell r="E116" t="str">
            <v>sol 1x500 ml</v>
          </cell>
          <cell r="F116">
            <v>256</v>
          </cell>
          <cell r="G116">
            <v>22807.599999999999</v>
          </cell>
          <cell r="H116">
            <v>8421.4</v>
          </cell>
          <cell r="I116" t="str">
            <v>4q2007</v>
          </cell>
        </row>
        <row r="117">
          <cell r="A117" t="str">
            <v>D0303</v>
          </cell>
          <cell r="B117" t="str">
            <v>DP02A</v>
          </cell>
          <cell r="C117" t="str">
            <v>DP0</v>
          </cell>
          <cell r="D117" t="str">
            <v>OSMERAL SN banán</v>
          </cell>
          <cell r="E117" t="str">
            <v>sol 1x500 ml</v>
          </cell>
          <cell r="F117">
            <v>441</v>
          </cell>
          <cell r="G117">
            <v>38385.1</v>
          </cell>
          <cell r="H117">
            <v>14501.9</v>
          </cell>
          <cell r="I117" t="str">
            <v>4q2007</v>
          </cell>
        </row>
        <row r="118">
          <cell r="B118" t="str">
            <v>DP02A Celkom</v>
          </cell>
          <cell r="F118">
            <v>15069</v>
          </cell>
          <cell r="G118">
            <v>1387471</v>
          </cell>
          <cell r="H118">
            <v>123397.99999999999</v>
          </cell>
        </row>
        <row r="119">
          <cell r="A119" t="str">
            <v>D0035</v>
          </cell>
          <cell r="B119" t="str">
            <v>DP02B</v>
          </cell>
          <cell r="C119" t="str">
            <v>DP0</v>
          </cell>
          <cell r="D119" t="str">
            <v>FRESUBIN ORIGINAL FIBRE, príchuť neutrálna</v>
          </cell>
          <cell r="E119" t="str">
            <v>sol 1x500 ml</v>
          </cell>
          <cell r="F119">
            <v>252</v>
          </cell>
          <cell r="G119">
            <v>22176.6</v>
          </cell>
          <cell r="H119">
            <v>7364.1</v>
          </cell>
          <cell r="I119" t="str">
            <v>4q2007</v>
          </cell>
        </row>
        <row r="120">
          <cell r="A120" t="str">
            <v>D0201</v>
          </cell>
          <cell r="B120" t="str">
            <v>DP02B</v>
          </cell>
          <cell r="C120" t="str">
            <v>DP0</v>
          </cell>
          <cell r="D120" t="str">
            <v>NUTRISON MULTIFIBRE</v>
          </cell>
          <cell r="E120" t="str">
            <v>sol 1x1000 ml</v>
          </cell>
          <cell r="F120">
            <v>337</v>
          </cell>
          <cell r="G120">
            <v>59290.6</v>
          </cell>
          <cell r="H120">
            <v>38958.9</v>
          </cell>
          <cell r="I120" t="str">
            <v>4q2007</v>
          </cell>
        </row>
        <row r="121">
          <cell r="A121" t="str">
            <v>D0239</v>
          </cell>
          <cell r="B121" t="str">
            <v>DP02B</v>
          </cell>
          <cell r="C121" t="str">
            <v>DP0</v>
          </cell>
          <cell r="D121" t="str">
            <v>Clinutren FIBRE VANILLA</v>
          </cell>
          <cell r="E121" t="str">
            <v>plv 1x400 g</v>
          </cell>
          <cell r="F121">
            <v>8</v>
          </cell>
          <cell r="G121">
            <v>2148</v>
          </cell>
          <cell r="H121">
            <v>499.6</v>
          </cell>
          <cell r="I121" t="str">
            <v>4q2007</v>
          </cell>
        </row>
        <row r="122">
          <cell r="A122" t="str">
            <v>D0304</v>
          </cell>
          <cell r="B122" t="str">
            <v>DP02B</v>
          </cell>
          <cell r="C122" t="str">
            <v>DP0</v>
          </cell>
          <cell r="D122" t="str">
            <v>Osmeral BS</v>
          </cell>
          <cell r="E122" t="str">
            <v>sol 1x500 ml</v>
          </cell>
          <cell r="F122">
            <v>69</v>
          </cell>
          <cell r="G122">
            <v>6147.9</v>
          </cell>
          <cell r="H122">
            <v>2270.1</v>
          </cell>
          <cell r="I122" t="str">
            <v>4q2007</v>
          </cell>
        </row>
        <row r="123">
          <cell r="A123" t="str">
            <v>D0305</v>
          </cell>
          <cell r="B123" t="str">
            <v>DP02B</v>
          </cell>
          <cell r="C123" t="str">
            <v>DP0</v>
          </cell>
          <cell r="D123" t="str">
            <v>Osmeral CS instant</v>
          </cell>
          <cell r="E123" t="str">
            <v>plv 2x177 g</v>
          </cell>
          <cell r="F123">
            <v>142</v>
          </cell>
          <cell r="G123">
            <v>30710.400000000001</v>
          </cell>
          <cell r="H123">
            <v>823.6</v>
          </cell>
          <cell r="I123" t="str">
            <v>4q2007</v>
          </cell>
        </row>
        <row r="124">
          <cell r="A124" t="str">
            <v>D0319</v>
          </cell>
          <cell r="B124" t="str">
            <v>DP02B</v>
          </cell>
          <cell r="C124" t="str">
            <v>DP0</v>
          </cell>
          <cell r="D124" t="str">
            <v>OSMERAL BS instant</v>
          </cell>
          <cell r="E124" t="str">
            <v>plv 2x175g</v>
          </cell>
          <cell r="F124">
            <v>152</v>
          </cell>
          <cell r="G124">
            <v>41199.4</v>
          </cell>
          <cell r="H124">
            <v>1352.6</v>
          </cell>
          <cell r="I124" t="str">
            <v>4q2007</v>
          </cell>
        </row>
        <row r="125">
          <cell r="B125" t="str">
            <v>DP02B Celkom</v>
          </cell>
          <cell r="F125">
            <v>960</v>
          </cell>
          <cell r="G125">
            <v>161672.9</v>
          </cell>
          <cell r="H125">
            <v>51268.899999999994</v>
          </cell>
        </row>
        <row r="126">
          <cell r="A126" t="str">
            <v>D0012</v>
          </cell>
          <cell r="B126" t="str">
            <v>DP02C</v>
          </cell>
          <cell r="C126" t="str">
            <v>DP0</v>
          </cell>
          <cell r="D126" t="str">
            <v>ENSURE PLUS, vanilková príchuť</v>
          </cell>
          <cell r="E126" t="str">
            <v>sol 1x200 ml</v>
          </cell>
          <cell r="F126">
            <v>29464</v>
          </cell>
          <cell r="G126">
            <v>1387359.2</v>
          </cell>
          <cell r="H126">
            <v>0</v>
          </cell>
          <cell r="I126" t="str">
            <v>4q2007</v>
          </cell>
        </row>
        <row r="127">
          <cell r="A127" t="str">
            <v>D0013</v>
          </cell>
          <cell r="B127" t="str">
            <v>DP02C</v>
          </cell>
          <cell r="C127" t="str">
            <v>DP0</v>
          </cell>
          <cell r="D127" t="str">
            <v>ENSURE PLUS, čokoládová príchuť</v>
          </cell>
          <cell r="E127" t="str">
            <v>sol 1x200 ml</v>
          </cell>
          <cell r="F127">
            <v>103926</v>
          </cell>
          <cell r="G127">
            <v>4905890.0999999996</v>
          </cell>
          <cell r="H127">
            <v>0</v>
          </cell>
          <cell r="I127" t="str">
            <v>4q2007</v>
          </cell>
        </row>
        <row r="128">
          <cell r="A128" t="str">
            <v>D0014</v>
          </cell>
          <cell r="B128" t="str">
            <v>DP02C</v>
          </cell>
          <cell r="C128" t="str">
            <v>DP0</v>
          </cell>
          <cell r="D128" t="str">
            <v>ENSURE PLUS, bez príchute</v>
          </cell>
          <cell r="E128" t="str">
            <v>sol 1x200 ml</v>
          </cell>
          <cell r="F128">
            <v>23275</v>
          </cell>
          <cell r="G128">
            <v>1097497.5</v>
          </cell>
          <cell r="H128">
            <v>0</v>
          </cell>
          <cell r="I128" t="str">
            <v>4q2007</v>
          </cell>
        </row>
        <row r="129">
          <cell r="A129" t="str">
            <v>D0015</v>
          </cell>
          <cell r="B129" t="str">
            <v>DP02C</v>
          </cell>
          <cell r="C129" t="str">
            <v>DP0</v>
          </cell>
          <cell r="D129" t="str">
            <v>ENSURE PLUS, karamelová príchuť</v>
          </cell>
          <cell r="E129" t="str">
            <v>sol 1x200 ml</v>
          </cell>
          <cell r="F129">
            <v>28055</v>
          </cell>
          <cell r="G129">
            <v>1306212.3</v>
          </cell>
          <cell r="H129">
            <v>11399.3</v>
          </cell>
          <cell r="I129" t="str">
            <v>4q2007</v>
          </cell>
        </row>
        <row r="130">
          <cell r="A130" t="str">
            <v>D0016</v>
          </cell>
          <cell r="B130" t="str">
            <v>DP02C</v>
          </cell>
          <cell r="C130" t="str">
            <v>DP0</v>
          </cell>
          <cell r="D130" t="str">
            <v>ENSURE PLUS, príchuť lesného ovocia</v>
          </cell>
          <cell r="E130" t="str">
            <v>sol 1x200 ml</v>
          </cell>
          <cell r="F130">
            <v>38818</v>
          </cell>
          <cell r="G130">
            <v>1833511.8</v>
          </cell>
          <cell r="H130">
            <v>0</v>
          </cell>
          <cell r="I130" t="str">
            <v>4q2007</v>
          </cell>
        </row>
        <row r="131">
          <cell r="A131" t="str">
            <v>D0017</v>
          </cell>
          <cell r="B131" t="str">
            <v>DP02C</v>
          </cell>
          <cell r="C131" t="str">
            <v>DP0</v>
          </cell>
          <cell r="D131" t="str">
            <v>FRESUBIN HP ENERGY, príchuť neutrálna</v>
          </cell>
          <cell r="E131" t="str">
            <v>sol 1x500 ml</v>
          </cell>
          <cell r="F131">
            <v>72</v>
          </cell>
          <cell r="G131">
            <v>8335.2000000000007</v>
          </cell>
          <cell r="H131">
            <v>6549.6</v>
          </cell>
          <cell r="I131" t="str">
            <v>4q2007</v>
          </cell>
        </row>
        <row r="132">
          <cell r="A132" t="str">
            <v>D0018</v>
          </cell>
          <cell r="B132" t="str">
            <v>DP02C</v>
          </cell>
          <cell r="C132" t="str">
            <v>DP0</v>
          </cell>
          <cell r="D132" t="str">
            <v>FRESUBIN ENERGY, príchuť neutrálna</v>
          </cell>
          <cell r="E132" t="str">
            <v>sol 1x500 ml</v>
          </cell>
          <cell r="F132">
            <v>5</v>
          </cell>
          <cell r="G132">
            <v>593.5</v>
          </cell>
          <cell r="H132">
            <v>480</v>
          </cell>
          <cell r="I132" t="str">
            <v>4q2007</v>
          </cell>
        </row>
        <row r="133">
          <cell r="A133" t="str">
            <v>D0019</v>
          </cell>
          <cell r="B133" t="str">
            <v>DP02C</v>
          </cell>
          <cell r="C133" t="str">
            <v>DP0</v>
          </cell>
          <cell r="D133" t="str">
            <v>FRESUBIN ENERGY DRINK, príchuť vanilková</v>
          </cell>
          <cell r="E133" t="str">
            <v>sol 1x200 ml</v>
          </cell>
          <cell r="F133">
            <v>30</v>
          </cell>
          <cell r="G133">
            <v>1425</v>
          </cell>
          <cell r="H133">
            <v>330</v>
          </cell>
          <cell r="I133" t="str">
            <v>4q2007</v>
          </cell>
        </row>
        <row r="134">
          <cell r="A134" t="str">
            <v>D0077</v>
          </cell>
          <cell r="B134" t="str">
            <v>DP02C</v>
          </cell>
          <cell r="C134" t="str">
            <v>DP0</v>
          </cell>
          <cell r="D134" t="str">
            <v>NUTRIDRINK, čokoládová príchuť</v>
          </cell>
          <cell r="E134" t="str">
            <v>sol 1x200 ml</v>
          </cell>
          <cell r="F134">
            <v>220767</v>
          </cell>
          <cell r="G134">
            <v>10459798.1</v>
          </cell>
          <cell r="H134">
            <v>44.4</v>
          </cell>
          <cell r="I134" t="str">
            <v>4q2007</v>
          </cell>
        </row>
        <row r="135">
          <cell r="A135" t="str">
            <v>D0078</v>
          </cell>
          <cell r="B135" t="str">
            <v>DP02C</v>
          </cell>
          <cell r="C135" t="str">
            <v>DP0</v>
          </cell>
          <cell r="D135" t="str">
            <v>NUTRIDRINK, neutrálna chuť</v>
          </cell>
          <cell r="E135" t="str">
            <v>sol 1x200 ml</v>
          </cell>
          <cell r="F135">
            <v>31775</v>
          </cell>
          <cell r="G135">
            <v>1502842.8</v>
          </cell>
          <cell r="H135">
            <v>196</v>
          </cell>
          <cell r="I135" t="str">
            <v>4q2007</v>
          </cell>
        </row>
        <row r="136">
          <cell r="A136" t="str">
            <v>D0079</v>
          </cell>
          <cell r="B136" t="str">
            <v>DP02C</v>
          </cell>
          <cell r="C136" t="str">
            <v>DP0</v>
          </cell>
          <cell r="D136" t="str">
            <v>NUTRIDRINK, karamelová príchuť</v>
          </cell>
          <cell r="E136" t="str">
            <v>sol 1x200 ml</v>
          </cell>
          <cell r="F136">
            <v>41081</v>
          </cell>
          <cell r="G136">
            <v>1938267.8</v>
          </cell>
          <cell r="H136">
            <v>2</v>
          </cell>
          <cell r="I136" t="str">
            <v>4q2007</v>
          </cell>
        </row>
        <row r="137">
          <cell r="A137" t="str">
            <v>D0080</v>
          </cell>
          <cell r="B137" t="str">
            <v>DP02C</v>
          </cell>
          <cell r="C137" t="str">
            <v>DP0</v>
          </cell>
          <cell r="D137" t="str">
            <v>NUTRIDRINK, príchuť tropického ovocia</v>
          </cell>
          <cell r="E137" t="str">
            <v>sol 1x200 ml</v>
          </cell>
          <cell r="F137">
            <v>42499</v>
          </cell>
          <cell r="G137">
            <v>2009913.2</v>
          </cell>
          <cell r="H137">
            <v>288</v>
          </cell>
          <cell r="I137" t="str">
            <v>4q2007</v>
          </cell>
        </row>
        <row r="138">
          <cell r="A138" t="str">
            <v>D0126</v>
          </cell>
          <cell r="B138" t="str">
            <v>DP02C</v>
          </cell>
          <cell r="C138" t="str">
            <v>DP0</v>
          </cell>
          <cell r="D138" t="str">
            <v>NUTRIDRINK YOGHURT, s príchuťou vanilka a citrón</v>
          </cell>
          <cell r="E138" t="str">
            <v>sol 1x200 ml</v>
          </cell>
          <cell r="F138">
            <v>3052</v>
          </cell>
          <cell r="G138">
            <v>142306.29999999999</v>
          </cell>
          <cell r="H138">
            <v>27034.1</v>
          </cell>
          <cell r="I138" t="str">
            <v>4q2007</v>
          </cell>
        </row>
        <row r="139">
          <cell r="A139" t="str">
            <v>D0127</v>
          </cell>
          <cell r="B139" t="str">
            <v>DP02C</v>
          </cell>
          <cell r="C139" t="str">
            <v>DP0</v>
          </cell>
          <cell r="D139" t="str">
            <v>NUTRIDRINK YOGHURT, s malinovou príchuťou</v>
          </cell>
          <cell r="E139" t="str">
            <v>sol 1x200 ml</v>
          </cell>
          <cell r="F139">
            <v>5089</v>
          </cell>
          <cell r="G139">
            <v>231776.2</v>
          </cell>
          <cell r="H139">
            <v>43975</v>
          </cell>
          <cell r="I139" t="str">
            <v>4q2007</v>
          </cell>
        </row>
        <row r="140">
          <cell r="A140" t="str">
            <v>D0218</v>
          </cell>
          <cell r="B140" t="str">
            <v>DP02C</v>
          </cell>
          <cell r="C140" t="str">
            <v>DP0</v>
          </cell>
          <cell r="D140" t="str">
            <v>ENSURE PLUS, príchuť čiernych ríbezlí</v>
          </cell>
          <cell r="E140" t="str">
            <v>sol 1x200 ml</v>
          </cell>
          <cell r="F140">
            <v>26682</v>
          </cell>
          <cell r="G140">
            <v>1258915.8999999999</v>
          </cell>
          <cell r="H140">
            <v>0</v>
          </cell>
          <cell r="I140" t="str">
            <v>4q2007</v>
          </cell>
        </row>
        <row r="141">
          <cell r="A141" t="str">
            <v>D0219</v>
          </cell>
          <cell r="B141" t="str">
            <v>DP02C</v>
          </cell>
          <cell r="C141" t="str">
            <v>DP0</v>
          </cell>
          <cell r="D141" t="str">
            <v>ENSURE PLUS, jahodová príchuť</v>
          </cell>
          <cell r="E141" t="str">
            <v>sol 1x200 ml</v>
          </cell>
          <cell r="F141">
            <v>31904</v>
          </cell>
          <cell r="G141">
            <v>1505068.1</v>
          </cell>
          <cell r="H141">
            <v>0</v>
          </cell>
          <cell r="I141" t="str">
            <v>4q2007</v>
          </cell>
        </row>
        <row r="142">
          <cell r="A142" t="str">
            <v>D0220</v>
          </cell>
          <cell r="B142" t="str">
            <v>DP02C</v>
          </cell>
          <cell r="C142" t="str">
            <v>DP0</v>
          </cell>
          <cell r="D142" t="str">
            <v>ENSURE PLUS  jogurt, broskyňová príchuť</v>
          </cell>
          <cell r="E142" t="str">
            <v>sol 1x220 ml</v>
          </cell>
          <cell r="F142">
            <v>16669</v>
          </cell>
          <cell r="G142">
            <v>848775.1</v>
          </cell>
          <cell r="H142">
            <v>0</v>
          </cell>
          <cell r="I142" t="str">
            <v>4q2007</v>
          </cell>
        </row>
        <row r="143">
          <cell r="A143" t="str">
            <v>D0221</v>
          </cell>
          <cell r="B143" t="str">
            <v>DP02C</v>
          </cell>
          <cell r="C143" t="str">
            <v>DP0</v>
          </cell>
          <cell r="D143" t="str">
            <v>ENSURE PLUS jogurt, pomarančová príchuť</v>
          </cell>
          <cell r="E143" t="str">
            <v>sol 1x220 ml</v>
          </cell>
          <cell r="F143">
            <v>5997</v>
          </cell>
          <cell r="G143">
            <v>310682.40000000002</v>
          </cell>
          <cell r="H143">
            <v>0</v>
          </cell>
          <cell r="I143" t="str">
            <v>4q2007</v>
          </cell>
        </row>
        <row r="144">
          <cell r="A144" t="str">
            <v>D0306</v>
          </cell>
          <cell r="B144" t="str">
            <v>DP02C</v>
          </cell>
          <cell r="C144" t="str">
            <v>DP0</v>
          </cell>
          <cell r="D144" t="str">
            <v>Osmeral HC coffee cream</v>
          </cell>
          <cell r="E144" t="str">
            <v>sol 1x500 ml</v>
          </cell>
          <cell r="F144">
            <v>2931</v>
          </cell>
          <cell r="G144">
            <v>347354.9</v>
          </cell>
          <cell r="H144">
            <v>9626.6</v>
          </cell>
          <cell r="I144" t="str">
            <v>4q2007</v>
          </cell>
        </row>
        <row r="145">
          <cell r="A145" t="str">
            <v>D0323</v>
          </cell>
          <cell r="B145" t="str">
            <v>DP02C</v>
          </cell>
          <cell r="C145" t="str">
            <v>DP0</v>
          </cell>
          <cell r="D145" t="str">
            <v>OSMERAL HN</v>
          </cell>
          <cell r="E145" t="str">
            <v>sol 1x500 ml</v>
          </cell>
          <cell r="F145">
            <v>355</v>
          </cell>
          <cell r="G145">
            <v>42138.5</v>
          </cell>
          <cell r="H145">
            <v>1171.5</v>
          </cell>
          <cell r="I145" t="str">
            <v>4q2007</v>
          </cell>
        </row>
        <row r="146">
          <cell r="B146" t="str">
            <v>DP02C Celkom</v>
          </cell>
          <cell r="F146">
            <v>652446</v>
          </cell>
          <cell r="G146">
            <v>31138663.899999999</v>
          </cell>
          <cell r="H146">
            <v>101096.5</v>
          </cell>
        </row>
        <row r="147">
          <cell r="A147" t="str">
            <v>D0021</v>
          </cell>
          <cell r="B147" t="str">
            <v>DP02D</v>
          </cell>
          <cell r="C147" t="str">
            <v>DP0</v>
          </cell>
          <cell r="D147" t="str">
            <v>FRESUBIN ENERGY FIBRE DRINK, príchuť čokoládová</v>
          </cell>
          <cell r="E147" t="str">
            <v>sol 1x200 ml</v>
          </cell>
          <cell r="F147">
            <v>2038</v>
          </cell>
          <cell r="G147">
            <v>96367.8</v>
          </cell>
          <cell r="H147">
            <v>0</v>
          </cell>
          <cell r="I147" t="str">
            <v>4q2007</v>
          </cell>
        </row>
        <row r="148">
          <cell r="A148" t="str">
            <v>D0022</v>
          </cell>
          <cell r="B148" t="str">
            <v>DP02D</v>
          </cell>
          <cell r="C148" t="str">
            <v>DP0</v>
          </cell>
          <cell r="D148" t="str">
            <v>FRESUBIN ENERGY FIBRE DRINK, príchuť kapučíno</v>
          </cell>
          <cell r="E148" t="str">
            <v>sol 1x200 ml</v>
          </cell>
          <cell r="F148">
            <v>785</v>
          </cell>
          <cell r="G148">
            <v>37176</v>
          </cell>
          <cell r="H148">
            <v>0</v>
          </cell>
          <cell r="I148" t="str">
            <v>4q2007</v>
          </cell>
        </row>
        <row r="149">
          <cell r="A149" t="str">
            <v>D0023</v>
          </cell>
          <cell r="B149" t="str">
            <v>DP02D</v>
          </cell>
          <cell r="C149" t="str">
            <v>DP0</v>
          </cell>
          <cell r="D149" t="str">
            <v>FRESUBIN ENERGY FIBRE DRINK, príchuť citrónová</v>
          </cell>
          <cell r="E149" t="str">
            <v>sol 1x200 ml</v>
          </cell>
          <cell r="F149">
            <v>1486</v>
          </cell>
          <cell r="G149">
            <v>70321.600000000006</v>
          </cell>
          <cell r="H149">
            <v>0</v>
          </cell>
          <cell r="I149" t="str">
            <v>4q2007</v>
          </cell>
        </row>
        <row r="150">
          <cell r="A150" t="str">
            <v>D0024</v>
          </cell>
          <cell r="B150" t="str">
            <v>DP02D</v>
          </cell>
          <cell r="C150" t="str">
            <v>DP0</v>
          </cell>
          <cell r="D150" t="str">
            <v>FRESUBIN ENERGY FIBRE DRINK, príchuť jahodová</v>
          </cell>
          <cell r="E150" t="str">
            <v>sol 1x200 ml</v>
          </cell>
          <cell r="F150">
            <v>936</v>
          </cell>
          <cell r="G150">
            <v>44436.9</v>
          </cell>
          <cell r="H150">
            <v>0</v>
          </cell>
          <cell r="I150" t="str">
            <v>4q2007</v>
          </cell>
        </row>
        <row r="151">
          <cell r="A151" t="str">
            <v>D0073</v>
          </cell>
          <cell r="B151" t="str">
            <v>DP02D</v>
          </cell>
          <cell r="C151" t="str">
            <v>DP0</v>
          </cell>
          <cell r="D151" t="str">
            <v>NUTRIDRINK MULTIFIBRE, príchuť pomarančová</v>
          </cell>
          <cell r="E151" t="str">
            <v>sol 1x200 ml</v>
          </cell>
          <cell r="F151">
            <v>48604</v>
          </cell>
          <cell r="G151">
            <v>2301330.2999999998</v>
          </cell>
          <cell r="H151">
            <v>1.1000000000000001</v>
          </cell>
          <cell r="I151" t="str">
            <v>4q2007</v>
          </cell>
        </row>
        <row r="152">
          <cell r="A152" t="str">
            <v>D0074</v>
          </cell>
          <cell r="B152" t="str">
            <v>DP02D</v>
          </cell>
          <cell r="C152" t="str">
            <v>DP0</v>
          </cell>
          <cell r="D152" t="str">
            <v>NUTRIDRINK MULTIFIBRE, príchuť vanilková</v>
          </cell>
          <cell r="E152" t="str">
            <v>sol 1x200 ml</v>
          </cell>
          <cell r="F152">
            <v>51752</v>
          </cell>
          <cell r="G152">
            <v>2446646</v>
          </cell>
          <cell r="H152">
            <v>0.5</v>
          </cell>
          <cell r="I152" t="str">
            <v>4q2007</v>
          </cell>
        </row>
        <row r="153">
          <cell r="A153" t="str">
            <v>D0075</v>
          </cell>
          <cell r="B153" t="str">
            <v>DP02D</v>
          </cell>
          <cell r="C153" t="str">
            <v>DP0</v>
          </cell>
          <cell r="D153" t="str">
            <v>NUTRIDRINK MULTIFIBRE, príchuť jahodová</v>
          </cell>
          <cell r="E153" t="str">
            <v>sol 1x200 ml</v>
          </cell>
          <cell r="F153">
            <v>76329</v>
          </cell>
          <cell r="G153">
            <v>3608709.4</v>
          </cell>
          <cell r="H153">
            <v>481</v>
          </cell>
          <cell r="I153" t="str">
            <v>4q2007</v>
          </cell>
        </row>
        <row r="154">
          <cell r="A154" t="str">
            <v>D0202</v>
          </cell>
          <cell r="B154" t="str">
            <v>DP02D</v>
          </cell>
          <cell r="C154" t="str">
            <v>DP0</v>
          </cell>
          <cell r="D154" t="str">
            <v>NUTRISON PROTEIN Plus Multifibre</v>
          </cell>
          <cell r="E154" t="str">
            <v>sol 1x500 ml</v>
          </cell>
          <cell r="F154">
            <v>190</v>
          </cell>
          <cell r="G154">
            <v>59665</v>
          </cell>
          <cell r="H154">
            <v>2365</v>
          </cell>
          <cell r="I154" t="str">
            <v>4q2007</v>
          </cell>
        </row>
        <row r="155">
          <cell r="A155" t="str">
            <v>D0255</v>
          </cell>
          <cell r="B155" t="str">
            <v>DP02D</v>
          </cell>
          <cell r="C155" t="str">
            <v>DP0</v>
          </cell>
          <cell r="D155" t="str">
            <v>ENRICH PLUS, príchuť malín</v>
          </cell>
          <cell r="E155" t="str">
            <v>sol 1x200 ml</v>
          </cell>
          <cell r="F155">
            <v>19718</v>
          </cell>
          <cell r="G155">
            <v>927572.8</v>
          </cell>
          <cell r="H155">
            <v>0</v>
          </cell>
          <cell r="I155" t="str">
            <v>4q2007</v>
          </cell>
        </row>
        <row r="156">
          <cell r="A156" t="str">
            <v>D0307</v>
          </cell>
          <cell r="B156" t="str">
            <v>DP02D</v>
          </cell>
          <cell r="C156" t="str">
            <v>DP0</v>
          </cell>
          <cell r="D156" t="str">
            <v>Osmeral complete tetra</v>
          </cell>
          <cell r="E156" t="str">
            <v>sol 1x470 ml</v>
          </cell>
          <cell r="F156">
            <v>820</v>
          </cell>
          <cell r="G156">
            <v>91512</v>
          </cell>
          <cell r="H156">
            <v>2788</v>
          </cell>
          <cell r="I156" t="str">
            <v>4q2007</v>
          </cell>
        </row>
        <row r="157">
          <cell r="A157" t="str">
            <v>D0330</v>
          </cell>
          <cell r="B157" t="str">
            <v>DP02D</v>
          </cell>
          <cell r="C157" t="str">
            <v>DP0</v>
          </cell>
          <cell r="D157" t="str">
            <v>NUTRIDRINK MULTIFIBRE, príchuť banánová</v>
          </cell>
          <cell r="E157" t="str">
            <v>sol 1x200 ml</v>
          </cell>
          <cell r="F157">
            <v>7282</v>
          </cell>
          <cell r="G157">
            <v>343648</v>
          </cell>
          <cell r="H157">
            <v>0</v>
          </cell>
          <cell r="I157" t="str">
            <v>4q2007</v>
          </cell>
        </row>
        <row r="158">
          <cell r="B158" t="str">
            <v>DP02D Celkom</v>
          </cell>
          <cell r="F158">
            <v>209940</v>
          </cell>
          <cell r="G158">
            <v>10027385.800000001</v>
          </cell>
          <cell r="H158">
            <v>5635.6</v>
          </cell>
        </row>
        <row r="159">
          <cell r="A159" t="str">
            <v>D0070</v>
          </cell>
          <cell r="B159" t="str">
            <v>DP02E</v>
          </cell>
          <cell r="C159" t="str">
            <v>DP0</v>
          </cell>
          <cell r="D159" t="str">
            <v>PEPTISORB POWDER</v>
          </cell>
          <cell r="E159" t="str">
            <v>plv 1x500 g</v>
          </cell>
          <cell r="F159">
            <v>763</v>
          </cell>
          <cell r="G159">
            <v>617879.9</v>
          </cell>
          <cell r="H159">
            <v>0</v>
          </cell>
          <cell r="I159" t="str">
            <v>4q2007</v>
          </cell>
        </row>
        <row r="160">
          <cell r="A160" t="str">
            <v>D0076</v>
          </cell>
          <cell r="B160" t="str">
            <v>DP02E</v>
          </cell>
          <cell r="C160" t="str">
            <v>DP0</v>
          </cell>
          <cell r="D160" t="str">
            <v>PEPTISORB</v>
          </cell>
          <cell r="E160" t="str">
            <v>sol 1x500 ml</v>
          </cell>
          <cell r="F160">
            <v>309</v>
          </cell>
          <cell r="G160">
            <v>64827.199999999997</v>
          </cell>
          <cell r="H160">
            <v>4851.3</v>
          </cell>
          <cell r="I160" t="str">
            <v>4q2007</v>
          </cell>
        </row>
        <row r="161">
          <cell r="A161" t="str">
            <v>D0242</v>
          </cell>
          <cell r="B161" t="str">
            <v>DP02E</v>
          </cell>
          <cell r="C161" t="str">
            <v>DP0</v>
          </cell>
          <cell r="D161" t="str">
            <v>PEPTAMEN VANILLA</v>
          </cell>
          <cell r="E161" t="str">
            <v>plv 1x430 g</v>
          </cell>
          <cell r="F161">
            <v>515</v>
          </cell>
          <cell r="G161">
            <v>420097.6</v>
          </cell>
          <cell r="H161">
            <v>0</v>
          </cell>
          <cell r="I161" t="str">
            <v>4q2007</v>
          </cell>
        </row>
        <row r="162">
          <cell r="A162" t="str">
            <v>D0243</v>
          </cell>
          <cell r="B162" t="str">
            <v>DP02E</v>
          </cell>
          <cell r="C162" t="str">
            <v>DP0</v>
          </cell>
          <cell r="D162" t="str">
            <v>PEPTAMEN JUNIOR VANILLA</v>
          </cell>
          <cell r="E162" t="str">
            <v>plv 1x400 g</v>
          </cell>
          <cell r="F162">
            <v>26</v>
          </cell>
          <cell r="G162">
            <v>16765.400000000001</v>
          </cell>
          <cell r="H162">
            <v>0</v>
          </cell>
          <cell r="I162" t="str">
            <v>4q2007</v>
          </cell>
        </row>
        <row r="163">
          <cell r="B163" t="str">
            <v>DP02E Celkom</v>
          </cell>
          <cell r="F163">
            <v>1613</v>
          </cell>
          <cell r="G163">
            <v>1119570.0999999999</v>
          </cell>
          <cell r="H163">
            <v>4851.3</v>
          </cell>
        </row>
        <row r="164">
          <cell r="A164" t="str">
            <v>D0041</v>
          </cell>
          <cell r="B164" t="str">
            <v>DP02F</v>
          </cell>
          <cell r="C164" t="str">
            <v>DP0</v>
          </cell>
          <cell r="D164" t="str">
            <v>DIBEN, príchuť neutrálna</v>
          </cell>
          <cell r="E164" t="str">
            <v>sol 1x500 ml</v>
          </cell>
          <cell r="F164">
            <v>575</v>
          </cell>
          <cell r="G164">
            <v>81565.8</v>
          </cell>
          <cell r="H164">
            <v>0</v>
          </cell>
          <cell r="I164" t="str">
            <v>4q2007</v>
          </cell>
        </row>
        <row r="165">
          <cell r="A165" t="str">
            <v>D0051</v>
          </cell>
          <cell r="B165" t="str">
            <v>DP02F</v>
          </cell>
          <cell r="C165" t="str">
            <v>DP0</v>
          </cell>
          <cell r="D165" t="str">
            <v>DIBEN DRINK, príchuť karamelová</v>
          </cell>
          <cell r="E165" t="str">
            <v>sol 1x200 ml</v>
          </cell>
          <cell r="F165">
            <v>174</v>
          </cell>
          <cell r="G165">
            <v>9864.4</v>
          </cell>
          <cell r="H165">
            <v>0</v>
          </cell>
          <cell r="I165" t="str">
            <v>4q2007</v>
          </cell>
        </row>
        <row r="166">
          <cell r="A166" t="str">
            <v>D0052</v>
          </cell>
          <cell r="B166" t="str">
            <v>DP02F</v>
          </cell>
          <cell r="C166" t="str">
            <v>DP0</v>
          </cell>
          <cell r="D166" t="str">
            <v>DIBEN DRINK, príchuť kapučíno</v>
          </cell>
          <cell r="E166" t="str">
            <v>sol 1x200 ml</v>
          </cell>
          <cell r="F166">
            <v>1583</v>
          </cell>
          <cell r="G166">
            <v>89684</v>
          </cell>
          <cell r="H166">
            <v>0</v>
          </cell>
          <cell r="I166" t="str">
            <v>4q2007</v>
          </cell>
        </row>
        <row r="167">
          <cell r="A167" t="str">
            <v>D0053</v>
          </cell>
          <cell r="B167" t="str">
            <v>DP02F</v>
          </cell>
          <cell r="C167" t="str">
            <v>DP0</v>
          </cell>
          <cell r="D167" t="str">
            <v>DIBEN DRINK, príchuť lesné plody</v>
          </cell>
          <cell r="E167" t="str">
            <v>sol 1x200 ml</v>
          </cell>
          <cell r="F167">
            <v>989</v>
          </cell>
          <cell r="G167">
            <v>56076.3</v>
          </cell>
          <cell r="H167">
            <v>133.6</v>
          </cell>
          <cell r="I167" t="str">
            <v>4q2007</v>
          </cell>
        </row>
        <row r="168">
          <cell r="A168" t="str">
            <v>D0240</v>
          </cell>
          <cell r="B168" t="str">
            <v>DP02F</v>
          </cell>
          <cell r="C168" t="str">
            <v>DP0</v>
          </cell>
          <cell r="D168" t="str">
            <v>Clinutren DIABETES VANILLA</v>
          </cell>
          <cell r="E168" t="str">
            <v>plv 1x400 g</v>
          </cell>
          <cell r="F168">
            <v>1</v>
          </cell>
          <cell r="G168">
            <v>468.8</v>
          </cell>
          <cell r="H168">
            <v>11.1</v>
          </cell>
          <cell r="I168" t="str">
            <v>4q2007</v>
          </cell>
        </row>
        <row r="169">
          <cell r="A169" t="str">
            <v>D0312</v>
          </cell>
          <cell r="B169" t="str">
            <v>DP02F</v>
          </cell>
          <cell r="C169" t="str">
            <v>DP0</v>
          </cell>
          <cell r="D169" t="str">
            <v>Osmeral DS tetra</v>
          </cell>
          <cell r="E169" t="str">
            <v>sol 1x470 ml</v>
          </cell>
          <cell r="F169">
            <v>287</v>
          </cell>
          <cell r="G169">
            <v>38171</v>
          </cell>
          <cell r="H169">
            <v>0</v>
          </cell>
          <cell r="I169" t="str">
            <v>4q2007</v>
          </cell>
        </row>
        <row r="170">
          <cell r="A170" t="str">
            <v>D0313</v>
          </cell>
          <cell r="B170" t="str">
            <v>DP02F</v>
          </cell>
          <cell r="C170" t="str">
            <v>DP0</v>
          </cell>
          <cell r="D170" t="str">
            <v>Osmeral DS instant</v>
          </cell>
          <cell r="E170" t="str">
            <v>plv 2x170 g</v>
          </cell>
          <cell r="F170">
            <v>58</v>
          </cell>
          <cell r="G170">
            <v>12704</v>
          </cell>
          <cell r="H170">
            <v>0</v>
          </cell>
          <cell r="I170" t="str">
            <v>4q2007</v>
          </cell>
        </row>
        <row r="171">
          <cell r="A171" t="str">
            <v>D0331</v>
          </cell>
          <cell r="B171" t="str">
            <v>DP02F</v>
          </cell>
          <cell r="C171" t="str">
            <v>DP0</v>
          </cell>
          <cell r="D171" t="str">
            <v>DIBEN</v>
          </cell>
          <cell r="E171" t="str">
            <v>sol 15x 500 ml</v>
          </cell>
          <cell r="F171">
            <v>45</v>
          </cell>
          <cell r="G171">
            <v>6421.5</v>
          </cell>
          <cell r="H171">
            <v>0</v>
          </cell>
          <cell r="I171" t="str">
            <v>4q2007</v>
          </cell>
        </row>
        <row r="172">
          <cell r="B172" t="str">
            <v>DP02F Celkom</v>
          </cell>
          <cell r="F172">
            <v>3712</v>
          </cell>
          <cell r="G172">
            <v>294955.8</v>
          </cell>
          <cell r="H172">
            <v>144.69999999999999</v>
          </cell>
        </row>
        <row r="173">
          <cell r="A173" t="str">
            <v>D0155</v>
          </cell>
          <cell r="B173" t="str">
            <v>DP02G</v>
          </cell>
          <cell r="C173" t="str">
            <v>DP0</v>
          </cell>
          <cell r="D173" t="str">
            <v>NEPRO, vanilková príchuť</v>
          </cell>
          <cell r="E173" t="str">
            <v>sol 1x237 ml</v>
          </cell>
          <cell r="F173">
            <v>11943</v>
          </cell>
          <cell r="G173">
            <v>1318450.1000000001</v>
          </cell>
          <cell r="H173">
            <v>0</v>
          </cell>
          <cell r="I173" t="str">
            <v>4q2007</v>
          </cell>
        </row>
        <row r="174">
          <cell r="A174" t="str">
            <v>D0156</v>
          </cell>
          <cell r="B174" t="str">
            <v>DP02G</v>
          </cell>
          <cell r="C174" t="str">
            <v>DP0</v>
          </cell>
          <cell r="D174" t="str">
            <v>NEPRO, vanilková príchuť</v>
          </cell>
          <cell r="E174" t="str">
            <v>sol 1x500 ml</v>
          </cell>
          <cell r="F174">
            <v>10</v>
          </cell>
          <cell r="G174">
            <v>655</v>
          </cell>
          <cell r="H174">
            <v>485</v>
          </cell>
          <cell r="I174" t="str">
            <v>4q2007</v>
          </cell>
        </row>
        <row r="175">
          <cell r="B175" t="str">
            <v>DP02G Celkom</v>
          </cell>
          <cell r="F175">
            <v>11953</v>
          </cell>
          <cell r="G175">
            <v>1319105.1000000001</v>
          </cell>
          <cell r="H175">
            <v>485</v>
          </cell>
        </row>
        <row r="176">
          <cell r="A176" t="str">
            <v>D0054</v>
          </cell>
          <cell r="B176" t="str">
            <v>DP02H</v>
          </cell>
          <cell r="C176" t="str">
            <v>DP0</v>
          </cell>
          <cell r="D176" t="str">
            <v>FRESUBIN HEPA,  príchuť mandarínková</v>
          </cell>
          <cell r="E176" t="str">
            <v>sol 1x500 ml</v>
          </cell>
          <cell r="F176">
            <v>233</v>
          </cell>
          <cell r="G176">
            <v>36420.9</v>
          </cell>
          <cell r="H176">
            <v>0</v>
          </cell>
          <cell r="I176" t="str">
            <v>4q2007</v>
          </cell>
        </row>
        <row r="177">
          <cell r="A177" t="str">
            <v>D0055</v>
          </cell>
          <cell r="B177" t="str">
            <v>DP02H</v>
          </cell>
          <cell r="C177" t="str">
            <v>DP0</v>
          </cell>
          <cell r="D177" t="str">
            <v>FRESUBIN HEPA,  príchuť kapučíno</v>
          </cell>
          <cell r="E177" t="str">
            <v>sol 1x500 ml</v>
          </cell>
          <cell r="F177">
            <v>1210</v>
          </cell>
          <cell r="G177">
            <v>190028.9</v>
          </cell>
          <cell r="H177">
            <v>0</v>
          </cell>
          <cell r="I177" t="str">
            <v>4q2007</v>
          </cell>
        </row>
        <row r="178">
          <cell r="B178" t="str">
            <v>DP02H Celkom</v>
          </cell>
          <cell r="F178">
            <v>1443</v>
          </cell>
          <cell r="G178">
            <v>226449.8</v>
          </cell>
          <cell r="H178">
            <v>0</v>
          </cell>
        </row>
        <row r="179">
          <cell r="A179" t="str">
            <v>D0010</v>
          </cell>
          <cell r="B179" t="str">
            <v>DP02I</v>
          </cell>
          <cell r="C179" t="str">
            <v>DP0</v>
          </cell>
          <cell r="D179" t="str">
            <v>PULMOCARE, vanilková príchuť</v>
          </cell>
          <cell r="E179" t="str">
            <v>sol 1x250 ml</v>
          </cell>
          <cell r="F179">
            <v>46</v>
          </cell>
          <cell r="G179">
            <v>3615.6</v>
          </cell>
          <cell r="H179">
            <v>193.2</v>
          </cell>
          <cell r="I179" t="str">
            <v>4q2007</v>
          </cell>
        </row>
        <row r="180">
          <cell r="A180" t="str">
            <v>D0157</v>
          </cell>
          <cell r="B180" t="str">
            <v>DP02I</v>
          </cell>
          <cell r="C180" t="str">
            <v>DP0</v>
          </cell>
          <cell r="D180" t="str">
            <v>PULMOCARE, vanilková príchuť</v>
          </cell>
          <cell r="E180" t="str">
            <v>sol 1x500 ml</v>
          </cell>
          <cell r="F180">
            <v>197</v>
          </cell>
          <cell r="G180">
            <v>30948.7</v>
          </cell>
          <cell r="H180">
            <v>0</v>
          </cell>
          <cell r="I180" t="str">
            <v>4q2007</v>
          </cell>
        </row>
        <row r="181">
          <cell r="B181" t="str">
            <v>DP02I Celkom</v>
          </cell>
          <cell r="F181">
            <v>243</v>
          </cell>
          <cell r="G181">
            <v>34564.300000000003</v>
          </cell>
          <cell r="H181">
            <v>193.2</v>
          </cell>
        </row>
        <row r="182">
          <cell r="A182" t="str">
            <v>D0158</v>
          </cell>
          <cell r="B182" t="str">
            <v>DP02J</v>
          </cell>
          <cell r="C182" t="str">
            <v>DP0</v>
          </cell>
          <cell r="D182" t="str">
            <v>PROSURE, vanilková príchuť</v>
          </cell>
          <cell r="E182" t="str">
            <v>sol 1x240 ml</v>
          </cell>
          <cell r="F182">
            <v>18706</v>
          </cell>
          <cell r="G182">
            <v>1694503.1</v>
          </cell>
          <cell r="H182">
            <v>0</v>
          </cell>
          <cell r="I182" t="str">
            <v>4q2007</v>
          </cell>
        </row>
        <row r="183">
          <cell r="A183" t="str">
            <v>D0159</v>
          </cell>
          <cell r="B183" t="str">
            <v>DP02J</v>
          </cell>
          <cell r="C183" t="str">
            <v>DP0</v>
          </cell>
          <cell r="D183" t="str">
            <v>PROSURE, banánová príchuť</v>
          </cell>
          <cell r="E183" t="str">
            <v>sol 1x240 ml</v>
          </cell>
          <cell r="F183">
            <v>28890</v>
          </cell>
          <cell r="G183">
            <v>2613378.7000000002</v>
          </cell>
          <cell r="H183">
            <v>0</v>
          </cell>
          <cell r="I183" t="str">
            <v>4q2007</v>
          </cell>
        </row>
        <row r="184">
          <cell r="A184" t="str">
            <v>D0160</v>
          </cell>
          <cell r="B184" t="str">
            <v>DP02J</v>
          </cell>
          <cell r="C184" t="str">
            <v>DP0</v>
          </cell>
          <cell r="D184" t="str">
            <v>PROSURE, pomarančová príchuť</v>
          </cell>
          <cell r="E184" t="str">
            <v>sol 1x240 ml</v>
          </cell>
          <cell r="F184">
            <v>14204</v>
          </cell>
          <cell r="G184">
            <v>1285838.8</v>
          </cell>
          <cell r="H184">
            <v>0</v>
          </cell>
          <cell r="I184" t="str">
            <v>4q2007</v>
          </cell>
        </row>
        <row r="185">
          <cell r="A185" t="str">
            <v>D0244</v>
          </cell>
          <cell r="B185" t="str">
            <v>DP02J</v>
          </cell>
          <cell r="C185" t="str">
            <v>DP0</v>
          </cell>
          <cell r="D185" t="str">
            <v>MODULEN IBD</v>
          </cell>
          <cell r="E185" t="str">
            <v>plv 1x400 g</v>
          </cell>
          <cell r="F185">
            <v>172</v>
          </cell>
          <cell r="G185">
            <v>110351</v>
          </cell>
          <cell r="H185">
            <v>0</v>
          </cell>
          <cell r="I185" t="str">
            <v>4q2007</v>
          </cell>
        </row>
        <row r="186">
          <cell r="B186" t="str">
            <v>DP02J Celkom</v>
          </cell>
          <cell r="F186">
            <v>61972</v>
          </cell>
          <cell r="G186">
            <v>5704071.6000000006</v>
          </cell>
          <cell r="H186">
            <v>0</v>
          </cell>
        </row>
        <row r="187">
          <cell r="A187" t="str">
            <v>D0134</v>
          </cell>
          <cell r="B187" t="str">
            <v>DP02K</v>
          </cell>
          <cell r="C187" t="str">
            <v>DP0</v>
          </cell>
          <cell r="D187" t="str">
            <v>L-ARGINÍN</v>
          </cell>
          <cell r="E187" t="str">
            <v>plv 1x100 g</v>
          </cell>
          <cell r="F187">
            <v>16</v>
          </cell>
          <cell r="G187">
            <v>31848</v>
          </cell>
          <cell r="H187">
            <v>0</v>
          </cell>
          <cell r="I187" t="str">
            <v>4q2007</v>
          </cell>
        </row>
        <row r="188">
          <cell r="A188" t="str">
            <v>D0135</v>
          </cell>
          <cell r="B188" t="str">
            <v>DP02K</v>
          </cell>
          <cell r="C188" t="str">
            <v>DP0</v>
          </cell>
          <cell r="D188" t="str">
            <v>L-CITRULÍN</v>
          </cell>
          <cell r="E188" t="str">
            <v>plv 1x100 g</v>
          </cell>
          <cell r="F188">
            <v>1</v>
          </cell>
          <cell r="G188">
            <v>7990.5</v>
          </cell>
          <cell r="H188">
            <v>0</v>
          </cell>
          <cell r="I188" t="str">
            <v>4q2007</v>
          </cell>
        </row>
        <row r="189">
          <cell r="A189" t="str">
            <v>D0137</v>
          </cell>
          <cell r="B189" t="str">
            <v>DP02K</v>
          </cell>
          <cell r="C189" t="str">
            <v>DP0</v>
          </cell>
          <cell r="D189" t="str">
            <v>L-KARNITÍN</v>
          </cell>
          <cell r="E189" t="str">
            <v>plv 1x1 g</v>
          </cell>
          <cell r="F189">
            <v>1666</v>
          </cell>
          <cell r="G189">
            <v>435659</v>
          </cell>
          <cell r="H189">
            <v>0</v>
          </cell>
          <cell r="I189" t="str">
            <v>4q2007</v>
          </cell>
        </row>
        <row r="190">
          <cell r="A190" t="str">
            <v>D0233</v>
          </cell>
          <cell r="B190" t="str">
            <v>DP02K</v>
          </cell>
          <cell r="C190" t="str">
            <v>DP0</v>
          </cell>
          <cell r="D190" t="str">
            <v>L-CARNITINE IMUNA</v>
          </cell>
          <cell r="E190" t="str">
            <v>plv 30x1 g</v>
          </cell>
          <cell r="F190">
            <v>2</v>
          </cell>
          <cell r="G190">
            <v>15691</v>
          </cell>
          <cell r="H190">
            <v>0</v>
          </cell>
          <cell r="I190" t="str">
            <v>4q2007</v>
          </cell>
        </row>
        <row r="191">
          <cell r="A191" t="str">
            <v>D0320</v>
          </cell>
          <cell r="B191" t="str">
            <v>DP02K</v>
          </cell>
          <cell r="C191" t="str">
            <v>DP0</v>
          </cell>
          <cell r="D191" t="str">
            <v>MCT oil</v>
          </cell>
          <cell r="E191" t="str">
            <v>oil 1x500 ml</v>
          </cell>
          <cell r="F191">
            <v>11</v>
          </cell>
          <cell r="G191">
            <v>18078.5</v>
          </cell>
          <cell r="H191">
            <v>951.5</v>
          </cell>
          <cell r="I191" t="str">
            <v>4q2007</v>
          </cell>
        </row>
        <row r="192">
          <cell r="B192" t="str">
            <v>DP02K Celkom</v>
          </cell>
          <cell r="F192">
            <v>1696</v>
          </cell>
          <cell r="G192">
            <v>509267</v>
          </cell>
          <cell r="H192">
            <v>951.5</v>
          </cell>
        </row>
        <row r="193">
          <cell r="A193" t="str">
            <v>D0063</v>
          </cell>
          <cell r="B193" t="str">
            <v>DP03A</v>
          </cell>
          <cell r="C193" t="str">
            <v>DP0</v>
          </cell>
          <cell r="D193" t="str">
            <v>HAMILON HA 1 HYPOALERGÉNNY</v>
          </cell>
          <cell r="E193" t="str">
            <v>plv 1x300 g</v>
          </cell>
          <cell r="F193">
            <v>1</v>
          </cell>
          <cell r="G193">
            <v>94.4</v>
          </cell>
          <cell r="H193">
            <v>96</v>
          </cell>
          <cell r="I193" t="str">
            <v>4q2007</v>
          </cell>
        </row>
        <row r="194">
          <cell r="A194" t="str">
            <v>D0064</v>
          </cell>
          <cell r="B194" t="str">
            <v>DP03A</v>
          </cell>
          <cell r="C194" t="str">
            <v>DP0</v>
          </cell>
          <cell r="D194" t="str">
            <v>HAMILON HA 2  HYPOALERGÉNNY</v>
          </cell>
          <cell r="E194" t="str">
            <v>plv 1x300 g</v>
          </cell>
          <cell r="F194">
            <v>3</v>
          </cell>
          <cell r="G194">
            <v>277.5</v>
          </cell>
          <cell r="H194">
            <v>293.7</v>
          </cell>
          <cell r="I194" t="str">
            <v>4q2007</v>
          </cell>
        </row>
        <row r="195">
          <cell r="A195" t="str">
            <v>D0112</v>
          </cell>
          <cell r="B195" t="str">
            <v>DP03A</v>
          </cell>
          <cell r="C195" t="str">
            <v>DP0</v>
          </cell>
          <cell r="D195" t="str">
            <v>BEBA H.A. 2 BIFIDUS</v>
          </cell>
          <cell r="E195" t="str">
            <v>plv 1x750 g</v>
          </cell>
          <cell r="F195">
            <v>215</v>
          </cell>
          <cell r="G195">
            <v>46907.7</v>
          </cell>
          <cell r="H195">
            <v>54688.3</v>
          </cell>
          <cell r="I195" t="str">
            <v>4q2007</v>
          </cell>
        </row>
        <row r="196">
          <cell r="A196" t="str">
            <v>D0114</v>
          </cell>
          <cell r="B196" t="str">
            <v>DP03A</v>
          </cell>
          <cell r="C196" t="str">
            <v>DP0</v>
          </cell>
          <cell r="D196" t="str">
            <v>BEBA 2 HA Premium</v>
          </cell>
          <cell r="E196" t="str">
            <v>plv 1x750 g</v>
          </cell>
          <cell r="F196">
            <v>7437</v>
          </cell>
          <cell r="G196">
            <v>1623910.7</v>
          </cell>
          <cell r="H196">
            <v>2068874.5</v>
          </cell>
          <cell r="I196" t="str">
            <v>4q2007</v>
          </cell>
        </row>
        <row r="197">
          <cell r="A197" t="str">
            <v>D0117</v>
          </cell>
          <cell r="B197" t="str">
            <v>DP03A</v>
          </cell>
          <cell r="C197" t="str">
            <v>DP0</v>
          </cell>
          <cell r="D197" t="str">
            <v>BEBA 1 HA Premium</v>
          </cell>
          <cell r="E197" t="str">
            <v>plv 1x750 g</v>
          </cell>
          <cell r="F197">
            <v>6691.5</v>
          </cell>
          <cell r="G197">
            <v>1668795.45</v>
          </cell>
          <cell r="H197">
            <v>1670339.73</v>
          </cell>
          <cell r="I197" t="str">
            <v>4q2007</v>
          </cell>
        </row>
        <row r="198">
          <cell r="A198" t="str">
            <v>D0121</v>
          </cell>
          <cell r="B198" t="str">
            <v>DP03A</v>
          </cell>
          <cell r="C198" t="str">
            <v>DP0</v>
          </cell>
          <cell r="D198" t="str">
            <v>NUTRILON HA 1 HYPOALERGÉNNY</v>
          </cell>
          <cell r="E198" t="str">
            <v>plv 1x400 g</v>
          </cell>
          <cell r="F198">
            <v>12161</v>
          </cell>
          <cell r="G198">
            <v>1498460.3</v>
          </cell>
          <cell r="H198">
            <v>1664823.89</v>
          </cell>
          <cell r="I198" t="str">
            <v>4q2007</v>
          </cell>
        </row>
        <row r="199">
          <cell r="A199" t="str">
            <v>D0122</v>
          </cell>
          <cell r="B199" t="str">
            <v>DP03A</v>
          </cell>
          <cell r="C199" t="str">
            <v>DP0</v>
          </cell>
          <cell r="D199" t="str">
            <v>NUTRILON HA 2 HYPOALERGÉNNY</v>
          </cell>
          <cell r="E199" t="str">
            <v>plv 1x400 g</v>
          </cell>
          <cell r="F199">
            <v>14752</v>
          </cell>
          <cell r="G199">
            <v>1811322.2</v>
          </cell>
          <cell r="H199">
            <v>2006477.9</v>
          </cell>
          <cell r="I199" t="str">
            <v>4q2007</v>
          </cell>
        </row>
        <row r="200">
          <cell r="A200" t="str">
            <v>D0143</v>
          </cell>
          <cell r="B200" t="str">
            <v>DP03A</v>
          </cell>
          <cell r="C200" t="str">
            <v>DP0</v>
          </cell>
          <cell r="D200" t="str">
            <v>NUTRILON 1 OMNEO</v>
          </cell>
          <cell r="E200" t="str">
            <v>plv 1x400 g</v>
          </cell>
          <cell r="F200">
            <v>2036</v>
          </cell>
          <cell r="G200">
            <v>226742.7</v>
          </cell>
          <cell r="H200">
            <v>295039.7</v>
          </cell>
          <cell r="I200" t="str">
            <v>4q2007</v>
          </cell>
        </row>
        <row r="201">
          <cell r="A201" t="str">
            <v>D0144</v>
          </cell>
          <cell r="B201" t="str">
            <v>DP03A</v>
          </cell>
          <cell r="C201" t="str">
            <v>DP0</v>
          </cell>
          <cell r="D201" t="str">
            <v>NUTRILON 2 OMNEO</v>
          </cell>
          <cell r="E201" t="str">
            <v>plv 1x400 g</v>
          </cell>
          <cell r="F201">
            <v>1615</v>
          </cell>
          <cell r="G201">
            <v>170885.5</v>
          </cell>
          <cell r="H201">
            <v>238073.8</v>
          </cell>
          <cell r="I201" t="str">
            <v>4q2007</v>
          </cell>
        </row>
        <row r="202">
          <cell r="A202" t="str">
            <v>D0228</v>
          </cell>
          <cell r="B202" t="str">
            <v>DP03A</v>
          </cell>
          <cell r="C202" t="str">
            <v>DP0</v>
          </cell>
          <cell r="D202" t="str">
            <v>Humana HA 2</v>
          </cell>
          <cell r="E202" t="str">
            <v>plv 1x650 g</v>
          </cell>
          <cell r="F202">
            <v>322</v>
          </cell>
          <cell r="G202">
            <v>60762.8</v>
          </cell>
          <cell r="H202">
            <v>76294.7</v>
          </cell>
          <cell r="I202" t="str">
            <v>4q2007</v>
          </cell>
        </row>
        <row r="203">
          <cell r="A203" t="str">
            <v>D0229</v>
          </cell>
          <cell r="B203" t="str">
            <v>DP03A</v>
          </cell>
          <cell r="C203" t="str">
            <v>DP0</v>
          </cell>
          <cell r="D203" t="str">
            <v>Humana HA 1</v>
          </cell>
          <cell r="E203" t="str">
            <v>plv 1x650 g</v>
          </cell>
          <cell r="F203">
            <v>1077</v>
          </cell>
          <cell r="G203">
            <v>219217.2</v>
          </cell>
          <cell r="H203">
            <v>234715</v>
          </cell>
          <cell r="I203" t="str">
            <v>4q2007</v>
          </cell>
        </row>
        <row r="204">
          <cell r="A204" t="str">
            <v>D0257</v>
          </cell>
          <cell r="B204" t="str">
            <v>DP03A</v>
          </cell>
          <cell r="C204" t="str">
            <v>DP0</v>
          </cell>
          <cell r="D204" t="str">
            <v>Nutrilon 2 Comfort</v>
          </cell>
          <cell r="E204" t="str">
            <v>plv 1x400 g</v>
          </cell>
          <cell r="F204">
            <v>268</v>
          </cell>
          <cell r="G204">
            <v>28816.1</v>
          </cell>
          <cell r="H204">
            <v>37836.1</v>
          </cell>
          <cell r="I204" t="str">
            <v>4q2007</v>
          </cell>
        </row>
        <row r="205">
          <cell r="A205" t="str">
            <v>D0258</v>
          </cell>
          <cell r="B205" t="str">
            <v>DP03A</v>
          </cell>
          <cell r="C205" t="str">
            <v>DP0</v>
          </cell>
          <cell r="D205" t="str">
            <v>Nutrilon 1 Comfort</v>
          </cell>
          <cell r="E205" t="str">
            <v>plv 1x400 g</v>
          </cell>
          <cell r="F205">
            <v>205</v>
          </cell>
          <cell r="G205">
            <v>22372.1</v>
          </cell>
          <cell r="H205">
            <v>29305.1</v>
          </cell>
          <cell r="I205" t="str">
            <v>4q2007</v>
          </cell>
        </row>
        <row r="206">
          <cell r="A206" t="str">
            <v>D0259</v>
          </cell>
          <cell r="B206" t="str">
            <v>DP03A</v>
          </cell>
          <cell r="C206" t="str">
            <v>DP0</v>
          </cell>
          <cell r="D206" t="str">
            <v>Hami 2 HA</v>
          </cell>
          <cell r="E206" t="str">
            <v>plv 1x300 g</v>
          </cell>
          <cell r="F206">
            <v>567</v>
          </cell>
          <cell r="G206">
            <v>53275.1</v>
          </cell>
          <cell r="H206">
            <v>46871.9</v>
          </cell>
          <cell r="I206" t="str">
            <v>4q2007</v>
          </cell>
        </row>
        <row r="207">
          <cell r="A207" t="str">
            <v>D0260</v>
          </cell>
          <cell r="B207" t="str">
            <v>DP03A</v>
          </cell>
          <cell r="C207" t="str">
            <v>DP0</v>
          </cell>
          <cell r="D207" t="str">
            <v>Hami 1  HA</v>
          </cell>
          <cell r="E207" t="str">
            <v>plv 1x300 g</v>
          </cell>
          <cell r="F207">
            <v>263</v>
          </cell>
          <cell r="G207">
            <v>24388.3</v>
          </cell>
          <cell r="H207">
            <v>23821</v>
          </cell>
          <cell r="I207" t="str">
            <v>4q2007</v>
          </cell>
        </row>
        <row r="208">
          <cell r="A208" t="str">
            <v>D0287</v>
          </cell>
          <cell r="B208" t="str">
            <v>DP03A</v>
          </cell>
          <cell r="C208" t="str">
            <v>DP0</v>
          </cell>
          <cell r="D208" t="str">
            <v>Humana HA 1</v>
          </cell>
          <cell r="E208" t="str">
            <v>plv 1x600 g</v>
          </cell>
          <cell r="F208">
            <v>669</v>
          </cell>
          <cell r="G208">
            <v>136500.1</v>
          </cell>
          <cell r="H208">
            <v>154163.6</v>
          </cell>
          <cell r="I208" t="str">
            <v>4q2007</v>
          </cell>
        </row>
        <row r="209">
          <cell r="A209" t="str">
            <v>D0288</v>
          </cell>
          <cell r="B209" t="str">
            <v>DP03A</v>
          </cell>
          <cell r="C209" t="str">
            <v>DP0</v>
          </cell>
          <cell r="D209" t="str">
            <v>Humana HA 2</v>
          </cell>
          <cell r="E209" t="str">
            <v>plv 1x600 g</v>
          </cell>
          <cell r="F209">
            <v>1004</v>
          </cell>
          <cell r="G209">
            <v>193593.5</v>
          </cell>
          <cell r="H209">
            <v>223064.7</v>
          </cell>
          <cell r="I209" t="str">
            <v>4q2007</v>
          </cell>
        </row>
        <row r="210">
          <cell r="A210" t="str">
            <v>D0314</v>
          </cell>
          <cell r="B210" t="str">
            <v>DP03A</v>
          </cell>
          <cell r="C210" t="str">
            <v>DP0</v>
          </cell>
          <cell r="D210" t="str">
            <v>Beba 3 H.A. Junior</v>
          </cell>
          <cell r="E210" t="str">
            <v>plv 1x 750 g</v>
          </cell>
          <cell r="F210">
            <v>336</v>
          </cell>
          <cell r="G210">
            <v>71665.3</v>
          </cell>
          <cell r="H210">
            <v>97091.7</v>
          </cell>
          <cell r="I210" t="str">
            <v>4q2007</v>
          </cell>
        </row>
        <row r="211">
          <cell r="B211" t="str">
            <v>DP03A Celkom</v>
          </cell>
          <cell r="F211">
            <v>49622.5</v>
          </cell>
          <cell r="G211">
            <v>7857986.9499999983</v>
          </cell>
          <cell r="H211">
            <v>8921871.3199999966</v>
          </cell>
        </row>
        <row r="212">
          <cell r="A212" t="str">
            <v>D0061</v>
          </cell>
          <cell r="B212" t="str">
            <v>DP03B</v>
          </cell>
          <cell r="C212" t="str">
            <v>DP0</v>
          </cell>
          <cell r="D212" t="str">
            <v>NUTRILON 1 LOW LACTOSE</v>
          </cell>
          <cell r="E212" t="str">
            <v>plv 1x400 g</v>
          </cell>
          <cell r="F212">
            <v>1668</v>
          </cell>
          <cell r="G212">
            <v>146603.70000000001</v>
          </cell>
          <cell r="H212">
            <v>190712.3</v>
          </cell>
          <cell r="I212" t="str">
            <v>4q2007</v>
          </cell>
        </row>
        <row r="213">
          <cell r="A213" t="str">
            <v>D0119</v>
          </cell>
          <cell r="B213" t="str">
            <v>DP03B</v>
          </cell>
          <cell r="C213" t="str">
            <v>DP0</v>
          </cell>
          <cell r="D213" t="str">
            <v>AL110</v>
          </cell>
          <cell r="E213" t="str">
            <v>plv 1x400 g</v>
          </cell>
          <cell r="F213">
            <v>1220</v>
          </cell>
          <cell r="G213">
            <v>106199</v>
          </cell>
          <cell r="H213">
            <v>157580.70000000001</v>
          </cell>
          <cell r="I213" t="str">
            <v>4q2007</v>
          </cell>
        </row>
        <row r="214">
          <cell r="B214" t="str">
            <v>DP03B Celkom</v>
          </cell>
          <cell r="F214">
            <v>2888</v>
          </cell>
          <cell r="G214">
            <v>252802.7</v>
          </cell>
          <cell r="H214">
            <v>348293</v>
          </cell>
        </row>
        <row r="215">
          <cell r="A215" t="str">
            <v>D0065</v>
          </cell>
          <cell r="B215" t="str">
            <v>DP03C</v>
          </cell>
          <cell r="C215" t="str">
            <v>DP0</v>
          </cell>
          <cell r="D215" t="str">
            <v>NUTRILON 1 A.R.</v>
          </cell>
          <cell r="E215" t="str">
            <v>plv 1x400 g</v>
          </cell>
          <cell r="F215">
            <v>5727</v>
          </cell>
          <cell r="G215">
            <v>551985</v>
          </cell>
          <cell r="H215">
            <v>603168</v>
          </cell>
          <cell r="I215" t="str">
            <v>4q2007</v>
          </cell>
        </row>
        <row r="216">
          <cell r="A216" t="str">
            <v>D0066</v>
          </cell>
          <cell r="B216" t="str">
            <v>DP03C</v>
          </cell>
          <cell r="C216" t="str">
            <v>DP0</v>
          </cell>
          <cell r="D216" t="str">
            <v>NUTRILON 2 A.R.</v>
          </cell>
          <cell r="E216" t="str">
            <v>plv 1x400 g</v>
          </cell>
          <cell r="F216">
            <v>10082</v>
          </cell>
          <cell r="G216">
            <v>904809.8</v>
          </cell>
          <cell r="H216">
            <v>1113349.6000000001</v>
          </cell>
          <cell r="I216" t="str">
            <v>4q2007</v>
          </cell>
        </row>
        <row r="217">
          <cell r="A217" t="str">
            <v>D0113</v>
          </cell>
          <cell r="B217" t="str">
            <v>DP03C</v>
          </cell>
          <cell r="C217" t="str">
            <v>DP0</v>
          </cell>
          <cell r="D217" t="str">
            <v>BEBA 1 A.R.</v>
          </cell>
          <cell r="E217" t="str">
            <v>plv 1x750 g</v>
          </cell>
          <cell r="F217">
            <v>1991</v>
          </cell>
          <cell r="G217">
            <v>375514.4</v>
          </cell>
          <cell r="H217">
            <v>473472.8</v>
          </cell>
          <cell r="I217" t="str">
            <v>4q2007</v>
          </cell>
        </row>
        <row r="218">
          <cell r="A218" t="str">
            <v>D0217</v>
          </cell>
          <cell r="B218" t="str">
            <v>DP03C</v>
          </cell>
          <cell r="C218" t="str">
            <v>DP0</v>
          </cell>
          <cell r="D218" t="str">
            <v>NUTRITON</v>
          </cell>
          <cell r="E218" t="str">
            <v>plv 1x135 g</v>
          </cell>
          <cell r="F218">
            <v>339</v>
          </cell>
          <cell r="G218">
            <v>9767.6</v>
          </cell>
          <cell r="H218">
            <v>76352.7</v>
          </cell>
          <cell r="I218" t="str">
            <v>4q2007</v>
          </cell>
        </row>
        <row r="219">
          <cell r="A219" t="str">
            <v>D0235</v>
          </cell>
          <cell r="B219" t="str">
            <v>DP03C</v>
          </cell>
          <cell r="C219" t="str">
            <v>DP0</v>
          </cell>
          <cell r="D219" t="str">
            <v>HUMANA AR</v>
          </cell>
          <cell r="E219" t="str">
            <v>plv 1x400 g</v>
          </cell>
          <cell r="F219">
            <v>1500</v>
          </cell>
          <cell r="G219">
            <v>150458.9</v>
          </cell>
          <cell r="H219">
            <v>168083.1</v>
          </cell>
          <cell r="I219" t="str">
            <v>4q2007</v>
          </cell>
        </row>
        <row r="220">
          <cell r="B220" t="str">
            <v>DP03C Celkom</v>
          </cell>
          <cell r="F220">
            <v>19639</v>
          </cell>
          <cell r="G220">
            <v>1992535.7000000002</v>
          </cell>
          <cell r="H220">
            <v>2434426.2000000002</v>
          </cell>
        </row>
        <row r="221">
          <cell r="A221" t="str">
            <v>D0059</v>
          </cell>
          <cell r="B221" t="str">
            <v>DP03D</v>
          </cell>
          <cell r="C221" t="str">
            <v>DP0</v>
          </cell>
          <cell r="D221" t="str">
            <v>NUTRILON 1 PEPTI</v>
          </cell>
          <cell r="E221" t="str">
            <v>plv 1x450 g</v>
          </cell>
          <cell r="F221">
            <v>998</v>
          </cell>
          <cell r="G221">
            <v>160796</v>
          </cell>
          <cell r="H221">
            <v>142481.79999999999</v>
          </cell>
          <cell r="I221" t="str">
            <v>4q2007</v>
          </cell>
        </row>
        <row r="222">
          <cell r="A222" t="str">
            <v>D0230</v>
          </cell>
          <cell r="B222" t="str">
            <v>DP03D</v>
          </cell>
          <cell r="C222" t="str">
            <v>DP0</v>
          </cell>
          <cell r="D222" t="str">
            <v>NUTRILON 2 PEPTI</v>
          </cell>
          <cell r="E222" t="str">
            <v>plv 1x450 g</v>
          </cell>
          <cell r="F222">
            <v>3650</v>
          </cell>
          <cell r="G222">
            <v>667282.30000000005</v>
          </cell>
          <cell r="H222">
            <v>430309.9</v>
          </cell>
          <cell r="I222" t="str">
            <v>4q2007</v>
          </cell>
        </row>
        <row r="223">
          <cell r="B223" t="str">
            <v>DP03D Celkom</v>
          </cell>
          <cell r="F223">
            <v>4648</v>
          </cell>
          <cell r="G223">
            <v>828078.3</v>
          </cell>
          <cell r="H223">
            <v>572791.69999999995</v>
          </cell>
        </row>
        <row r="224">
          <cell r="A224" t="str">
            <v>D0060</v>
          </cell>
          <cell r="B224" t="str">
            <v>DP03E</v>
          </cell>
          <cell r="C224" t="str">
            <v>DP0</v>
          </cell>
          <cell r="D224" t="str">
            <v>NUTRILON PEPTI MCT</v>
          </cell>
          <cell r="E224" t="str">
            <v>plv 1x450 g</v>
          </cell>
          <cell r="F224">
            <v>710</v>
          </cell>
          <cell r="G224">
            <v>250441.8</v>
          </cell>
          <cell r="H224">
            <v>83495.199999999997</v>
          </cell>
          <cell r="I224" t="str">
            <v>4q2007</v>
          </cell>
        </row>
        <row r="225">
          <cell r="A225" t="str">
            <v>D0120</v>
          </cell>
          <cell r="B225" t="str">
            <v>DP03E</v>
          </cell>
          <cell r="C225" t="str">
            <v>DP0</v>
          </cell>
          <cell r="D225" t="str">
            <v>ALFARE</v>
          </cell>
          <cell r="E225" t="str">
            <v>plv 1x400 g</v>
          </cell>
          <cell r="F225">
            <v>511</v>
          </cell>
          <cell r="G225">
            <v>143168.70000000001</v>
          </cell>
          <cell r="H225">
            <v>92194.6</v>
          </cell>
          <cell r="I225" t="str">
            <v>4q2007</v>
          </cell>
        </row>
        <row r="226">
          <cell r="B226" t="str">
            <v>DP03E Celkom</v>
          </cell>
          <cell r="F226">
            <v>1221</v>
          </cell>
          <cell r="G226">
            <v>393610.5</v>
          </cell>
          <cell r="H226">
            <v>175689.8</v>
          </cell>
        </row>
        <row r="227">
          <cell r="A227" t="str">
            <v>D0128</v>
          </cell>
          <cell r="B227" t="str">
            <v>DP03F</v>
          </cell>
          <cell r="C227" t="str">
            <v>DP0</v>
          </cell>
          <cell r="D227" t="str">
            <v>NEOCATE</v>
          </cell>
          <cell r="E227" t="str">
            <v>plv 1x400 g</v>
          </cell>
          <cell r="F227">
            <v>752</v>
          </cell>
          <cell r="G227">
            <v>1578664.4</v>
          </cell>
          <cell r="H227">
            <v>90114.6</v>
          </cell>
          <cell r="I227" t="str">
            <v>4q2007</v>
          </cell>
        </row>
        <row r="228">
          <cell r="A228" t="str">
            <v>D0246</v>
          </cell>
          <cell r="B228" t="str">
            <v>DP03F</v>
          </cell>
          <cell r="C228" t="str">
            <v>DP0</v>
          </cell>
          <cell r="D228" t="str">
            <v>NEOCATE ADVANCE</v>
          </cell>
          <cell r="E228" t="str">
            <v>plv 1x400 g</v>
          </cell>
          <cell r="F228">
            <v>726</v>
          </cell>
          <cell r="G228">
            <v>1544693.64</v>
          </cell>
          <cell r="H228">
            <v>89813.5</v>
          </cell>
          <cell r="I228" t="str">
            <v>4q2007</v>
          </cell>
        </row>
        <row r="229">
          <cell r="B229" t="str">
            <v>DP03F Celkom</v>
          </cell>
          <cell r="F229">
            <v>1478</v>
          </cell>
          <cell r="G229">
            <v>3123358.04</v>
          </cell>
          <cell r="H229">
            <v>179928.1</v>
          </cell>
        </row>
        <row r="230">
          <cell r="A230" t="str">
            <v>D0008</v>
          </cell>
          <cell r="B230" t="str">
            <v>DP03G</v>
          </cell>
          <cell r="C230" t="str">
            <v>DP0</v>
          </cell>
          <cell r="D230" t="str">
            <v>ISOMIL 400</v>
          </cell>
          <cell r="E230" t="str">
            <v>plv 1x400 g</v>
          </cell>
          <cell r="F230">
            <v>1</v>
          </cell>
          <cell r="G230">
            <v>23.7</v>
          </cell>
          <cell r="H230">
            <v>134.19999999999999</v>
          </cell>
          <cell r="I230" t="str">
            <v>4q2007</v>
          </cell>
        </row>
        <row r="231">
          <cell r="A231" t="str">
            <v>D0058</v>
          </cell>
          <cell r="B231" t="str">
            <v>DP03G</v>
          </cell>
          <cell r="C231" t="str">
            <v>DP0</v>
          </cell>
          <cell r="D231" t="str">
            <v>NUTRILON 1 SOYA</v>
          </cell>
          <cell r="E231" t="str">
            <v>plv 1x400 g</v>
          </cell>
          <cell r="F231">
            <v>157</v>
          </cell>
          <cell r="G231">
            <v>3126.3</v>
          </cell>
          <cell r="H231">
            <v>32642</v>
          </cell>
          <cell r="I231" t="str">
            <v>4q2007</v>
          </cell>
        </row>
        <row r="232">
          <cell r="B232" t="str">
            <v>DP03G Celkom</v>
          </cell>
          <cell r="F232">
            <v>158</v>
          </cell>
          <cell r="G232">
            <v>3150</v>
          </cell>
          <cell r="H232">
            <v>32776.199999999997</v>
          </cell>
        </row>
        <row r="233">
          <cell r="A233" t="str">
            <v>D0062</v>
          </cell>
          <cell r="B233" t="str">
            <v>DP03H</v>
          </cell>
          <cell r="C233" t="str">
            <v>DP0</v>
          </cell>
          <cell r="D233" t="str">
            <v>NUTRILON NENATAL LCP</v>
          </cell>
          <cell r="E233" t="str">
            <v>plv 1x400 g</v>
          </cell>
          <cell r="F233">
            <v>199</v>
          </cell>
          <cell r="G233">
            <v>48811.5</v>
          </cell>
          <cell r="H233">
            <v>26526.9</v>
          </cell>
          <cell r="I233" t="str">
            <v>4q2007</v>
          </cell>
        </row>
        <row r="234">
          <cell r="A234" t="str">
            <v>D0118</v>
          </cell>
          <cell r="B234" t="str">
            <v>DP03H</v>
          </cell>
          <cell r="C234" t="str">
            <v>DP0</v>
          </cell>
          <cell r="D234" t="str">
            <v>ALPREM</v>
          </cell>
          <cell r="E234" t="str">
            <v>plv 1x400 g</v>
          </cell>
          <cell r="F234">
            <v>5</v>
          </cell>
          <cell r="G234">
            <v>1311.5</v>
          </cell>
          <cell r="H234">
            <v>128.1</v>
          </cell>
          <cell r="I234" t="str">
            <v>4q2007</v>
          </cell>
        </row>
        <row r="235">
          <cell r="A235" t="str">
            <v>D0142</v>
          </cell>
          <cell r="B235" t="str">
            <v>DP03H</v>
          </cell>
          <cell r="C235" t="str">
            <v>DP0</v>
          </cell>
          <cell r="D235" t="str">
            <v>NUTRILON BMF</v>
          </cell>
          <cell r="E235" t="str">
            <v>plv 50x2,1 g</v>
          </cell>
          <cell r="F235">
            <v>27</v>
          </cell>
          <cell r="G235">
            <v>18717.3</v>
          </cell>
          <cell r="H235">
            <v>1821.4</v>
          </cell>
          <cell r="I235" t="str">
            <v>4q2007</v>
          </cell>
        </row>
        <row r="236">
          <cell r="A236" t="str">
            <v>D0236</v>
          </cell>
          <cell r="B236" t="str">
            <v>DP03H</v>
          </cell>
          <cell r="C236" t="str">
            <v>DP0</v>
          </cell>
          <cell r="D236" t="str">
            <v>BEBA ALPRÉM</v>
          </cell>
          <cell r="E236" t="str">
            <v>plv 1x400 g</v>
          </cell>
          <cell r="F236">
            <v>167</v>
          </cell>
          <cell r="G236">
            <v>39532.800000000003</v>
          </cell>
          <cell r="H236">
            <v>28930.5</v>
          </cell>
          <cell r="I236" t="str">
            <v>4q2007</v>
          </cell>
        </row>
        <row r="237">
          <cell r="A237" t="str">
            <v>D0278</v>
          </cell>
          <cell r="B237" t="str">
            <v>DP03H</v>
          </cell>
          <cell r="C237" t="str">
            <v>DP0</v>
          </cell>
          <cell r="D237" t="str">
            <v>Nutrilon 0 Nenatal</v>
          </cell>
          <cell r="E237" t="str">
            <v>plv 1x400 g</v>
          </cell>
          <cell r="F237">
            <v>254</v>
          </cell>
          <cell r="G237">
            <v>57073</v>
          </cell>
          <cell r="H237">
            <v>44554.6</v>
          </cell>
          <cell r="I237" t="str">
            <v>4q2007</v>
          </cell>
        </row>
        <row r="238">
          <cell r="A238" t="str">
            <v>D0315</v>
          </cell>
          <cell r="B238" t="str">
            <v>DP03H</v>
          </cell>
          <cell r="C238" t="str">
            <v>DP0</v>
          </cell>
          <cell r="D238" t="str">
            <v>FM 85</v>
          </cell>
          <cell r="E238" t="str">
            <v>plv 1x200 g</v>
          </cell>
          <cell r="F238">
            <v>13</v>
          </cell>
          <cell r="G238">
            <v>14117.2</v>
          </cell>
          <cell r="H238">
            <v>1408.6</v>
          </cell>
          <cell r="I238" t="str">
            <v>4q2007</v>
          </cell>
        </row>
        <row r="239">
          <cell r="B239" t="str">
            <v>DP03H Celkom</v>
          </cell>
          <cell r="F239">
            <v>665</v>
          </cell>
          <cell r="G239">
            <v>179563.30000000002</v>
          </cell>
          <cell r="H239">
            <v>103370.1</v>
          </cell>
        </row>
        <row r="240">
          <cell r="A240" t="str">
            <v>D0321</v>
          </cell>
          <cell r="B240" t="str">
            <v>DP03J</v>
          </cell>
          <cell r="C240" t="str">
            <v>DP0</v>
          </cell>
          <cell r="D240" t="str">
            <v>Infatrini</v>
          </cell>
          <cell r="E240" t="str">
            <v>sol 1x100 ml</v>
          </cell>
          <cell r="F240">
            <v>2924</v>
          </cell>
          <cell r="G240">
            <v>241120.9</v>
          </cell>
          <cell r="H240">
            <v>0</v>
          </cell>
          <cell r="I240" t="str">
            <v>4q2007</v>
          </cell>
        </row>
      </sheetData>
      <sheetData sheetId="2">
        <row r="2">
          <cell r="A2" t="str">
            <v>D0081</v>
          </cell>
          <cell r="B2" t="str">
            <v>DP01A</v>
          </cell>
          <cell r="C2" t="str">
            <v>DP0</v>
          </cell>
          <cell r="D2" t="str">
            <v>MILUPA PKU 2</v>
          </cell>
          <cell r="E2" t="str">
            <v>plv 1x500 g</v>
          </cell>
          <cell r="F2">
            <v>65</v>
          </cell>
          <cell r="G2">
            <v>459329</v>
          </cell>
          <cell r="H2">
            <v>0</v>
          </cell>
          <cell r="I2" t="str">
            <v>2q2007</v>
          </cell>
        </row>
        <row r="3">
          <cell r="A3" t="str">
            <v>D0082</v>
          </cell>
          <cell r="B3" t="str">
            <v>DP01A</v>
          </cell>
          <cell r="C3" t="str">
            <v>DP0</v>
          </cell>
          <cell r="D3" t="str">
            <v>MILUPA PKU 3</v>
          </cell>
          <cell r="E3" t="str">
            <v>plv 1x500 g</v>
          </cell>
          <cell r="F3">
            <v>164</v>
          </cell>
          <cell r="G3">
            <v>1177394</v>
          </cell>
          <cell r="H3">
            <v>0</v>
          </cell>
          <cell r="I3" t="str">
            <v>2q2007</v>
          </cell>
        </row>
        <row r="4">
          <cell r="A4" t="str">
            <v>D0083</v>
          </cell>
          <cell r="B4" t="str">
            <v>DP01A</v>
          </cell>
          <cell r="C4" t="str">
            <v>DP0</v>
          </cell>
          <cell r="D4" t="str">
            <v>MILUPA PKU 2 SHAKE ČOKOLÁDA</v>
          </cell>
          <cell r="E4" t="str">
            <v>plv 1x30 g</v>
          </cell>
          <cell r="F4">
            <v>370</v>
          </cell>
          <cell r="G4">
            <v>76220</v>
          </cell>
          <cell r="H4">
            <v>2604</v>
          </cell>
          <cell r="I4" t="str">
            <v>2q2007</v>
          </cell>
        </row>
        <row r="5">
          <cell r="A5" t="str">
            <v>D0084</v>
          </cell>
          <cell r="B5" t="str">
            <v>DP01A</v>
          </cell>
          <cell r="C5" t="str">
            <v>DP0</v>
          </cell>
          <cell r="D5" t="str">
            <v>MILUPA PKU 2 SHAKE JAHODA-VANILKA</v>
          </cell>
          <cell r="E5" t="str">
            <v>plv 1x30 g</v>
          </cell>
          <cell r="F5">
            <v>215</v>
          </cell>
          <cell r="G5">
            <v>44290</v>
          </cell>
          <cell r="H5">
            <v>1674</v>
          </cell>
          <cell r="I5" t="str">
            <v>2q2007</v>
          </cell>
        </row>
        <row r="6">
          <cell r="A6" t="str">
            <v>D0088</v>
          </cell>
          <cell r="B6" t="str">
            <v>DP01A</v>
          </cell>
          <cell r="C6" t="str">
            <v>DP0</v>
          </cell>
          <cell r="D6" t="str">
            <v>P-AM 2</v>
          </cell>
          <cell r="E6" t="str">
            <v>plv 1x500 g</v>
          </cell>
          <cell r="F6">
            <v>314</v>
          </cell>
          <cell r="G6">
            <v>2390764.6</v>
          </cell>
          <cell r="H6">
            <v>0</v>
          </cell>
          <cell r="I6" t="str">
            <v>2q2007</v>
          </cell>
        </row>
        <row r="7">
          <cell r="A7" t="str">
            <v>D0089</v>
          </cell>
          <cell r="B7" t="str">
            <v>DP01A</v>
          </cell>
          <cell r="C7" t="str">
            <v>DP0</v>
          </cell>
          <cell r="D7" t="str">
            <v>P-AM 3</v>
          </cell>
          <cell r="E7" t="str">
            <v>plv 1x500 g</v>
          </cell>
          <cell r="F7">
            <v>547</v>
          </cell>
          <cell r="G7">
            <v>4164803.3</v>
          </cell>
          <cell r="H7">
            <v>0</v>
          </cell>
          <cell r="I7" t="str">
            <v>2q2007</v>
          </cell>
        </row>
        <row r="8">
          <cell r="A8" t="str">
            <v>D0090</v>
          </cell>
          <cell r="B8" t="str">
            <v>DP01A</v>
          </cell>
          <cell r="C8" t="str">
            <v>DP0</v>
          </cell>
          <cell r="D8" t="str">
            <v>P-AM UNIVERSAL</v>
          </cell>
          <cell r="E8" t="str">
            <v>plv 1x500 g</v>
          </cell>
          <cell r="F8">
            <v>26</v>
          </cell>
          <cell r="G8">
            <v>189703.8</v>
          </cell>
          <cell r="H8">
            <v>0</v>
          </cell>
          <cell r="I8" t="str">
            <v>2q2007</v>
          </cell>
        </row>
        <row r="9">
          <cell r="A9" t="str">
            <v>D0129</v>
          </cell>
          <cell r="B9" t="str">
            <v>DP01A</v>
          </cell>
          <cell r="C9" t="str">
            <v>DP0</v>
          </cell>
          <cell r="D9" t="str">
            <v>XP ANALOG LCP</v>
          </cell>
          <cell r="E9" t="str">
            <v>plv 1x400 g</v>
          </cell>
          <cell r="F9">
            <v>136</v>
          </cell>
          <cell r="G9">
            <v>327161.59999999998</v>
          </cell>
          <cell r="H9">
            <v>0</v>
          </cell>
          <cell r="I9" t="str">
            <v>2q2007</v>
          </cell>
        </row>
        <row r="10">
          <cell r="A10" t="str">
            <v>D0131</v>
          </cell>
          <cell r="B10" t="str">
            <v>DP01A</v>
          </cell>
          <cell r="C10" t="str">
            <v>DP0</v>
          </cell>
          <cell r="D10" t="str">
            <v>PHLEXY-10 TYČINKA</v>
          </cell>
          <cell r="E10" t="str">
            <v>sty 20x42 g</v>
          </cell>
          <cell r="F10">
            <v>17</v>
          </cell>
          <cell r="G10">
            <v>83300</v>
          </cell>
          <cell r="H10">
            <v>2550</v>
          </cell>
          <cell r="I10" t="str">
            <v>2q2007</v>
          </cell>
        </row>
        <row r="11">
          <cell r="A11" t="str">
            <v>D0165</v>
          </cell>
          <cell r="B11" t="str">
            <v>DP01A</v>
          </cell>
          <cell r="C11" t="str">
            <v>DP0</v>
          </cell>
          <cell r="D11" t="str">
            <v>XPhe Advance Se</v>
          </cell>
          <cell r="E11" t="str">
            <v>plv 1x500 g</v>
          </cell>
          <cell r="F11">
            <v>370</v>
          </cell>
          <cell r="G11">
            <v>2751877</v>
          </cell>
          <cell r="H11">
            <v>0</v>
          </cell>
          <cell r="I11" t="str">
            <v>2q2007</v>
          </cell>
        </row>
        <row r="12">
          <cell r="A12" t="str">
            <v>D0166</v>
          </cell>
          <cell r="B12" t="str">
            <v>DP01A</v>
          </cell>
          <cell r="C12" t="str">
            <v>DP0</v>
          </cell>
          <cell r="D12" t="str">
            <v>XPhe Kid Se</v>
          </cell>
          <cell r="E12" t="str">
            <v>plv 1x500 g</v>
          </cell>
          <cell r="F12">
            <v>59</v>
          </cell>
          <cell r="G12">
            <v>397340</v>
          </cell>
          <cell r="H12">
            <v>0</v>
          </cell>
          <cell r="I12" t="str">
            <v>2q2007</v>
          </cell>
        </row>
        <row r="13">
          <cell r="A13" t="str">
            <v>D0167</v>
          </cell>
          <cell r="B13" t="str">
            <v>DP01A</v>
          </cell>
          <cell r="C13" t="str">
            <v>DP0</v>
          </cell>
          <cell r="D13" t="str">
            <v>XPhe Junior Se</v>
          </cell>
          <cell r="E13" t="str">
            <v>plv 1x500 g</v>
          </cell>
          <cell r="F13">
            <v>20</v>
          </cell>
          <cell r="G13">
            <v>134697.70000000001</v>
          </cell>
          <cell r="H13">
            <v>0</v>
          </cell>
          <cell r="I13" t="str">
            <v>2q2007</v>
          </cell>
        </row>
        <row r="14">
          <cell r="A14" t="str">
            <v>D0174</v>
          </cell>
          <cell r="B14" t="str">
            <v>DP01A</v>
          </cell>
          <cell r="C14" t="str">
            <v>DP0</v>
          </cell>
          <cell r="D14" t="str">
            <v>APROMIX, nízkobielkovinová múka</v>
          </cell>
          <cell r="E14" t="str">
            <v>1 x 1000 g</v>
          </cell>
          <cell r="F14">
            <v>1297</v>
          </cell>
          <cell r="G14">
            <v>127068</v>
          </cell>
          <cell r="H14">
            <v>15687.4</v>
          </cell>
          <cell r="I14" t="str">
            <v>2q2007</v>
          </cell>
        </row>
        <row r="15">
          <cell r="A15" t="str">
            <v>D0181</v>
          </cell>
          <cell r="B15" t="str">
            <v>DP01A</v>
          </cell>
          <cell r="C15" t="str">
            <v>DP0</v>
          </cell>
          <cell r="D15" t="str">
            <v>APROCEL – nízkobielkovinové cestoviny</v>
          </cell>
          <cell r="E15" t="str">
            <v>1 x 250 g</v>
          </cell>
          <cell r="F15">
            <v>2098</v>
          </cell>
          <cell r="G15">
            <v>70297.2</v>
          </cell>
          <cell r="H15">
            <v>70332.5</v>
          </cell>
          <cell r="I15" t="str">
            <v>2q2007</v>
          </cell>
        </row>
        <row r="16">
          <cell r="A16" t="str">
            <v>D0182</v>
          </cell>
          <cell r="B16" t="str">
            <v>DP01A</v>
          </cell>
          <cell r="C16" t="str">
            <v>DP0</v>
          </cell>
          <cell r="D16" t="str">
            <v>Nízkobielkovinové  OBLÁTKY</v>
          </cell>
          <cell r="E16" t="str">
            <v>1 x 100 g</v>
          </cell>
          <cell r="F16">
            <v>252</v>
          </cell>
          <cell r="G16">
            <v>12823.6</v>
          </cell>
          <cell r="H16">
            <v>12845.4</v>
          </cell>
          <cell r="I16" t="str">
            <v>2q2007</v>
          </cell>
        </row>
        <row r="17">
          <cell r="A17" t="str">
            <v>D0186</v>
          </cell>
          <cell r="B17" t="str">
            <v>DP01A</v>
          </cell>
          <cell r="C17" t="str">
            <v>DP0</v>
          </cell>
          <cell r="D17" t="str">
            <v>SinPhe 1</v>
          </cell>
          <cell r="E17" t="str">
            <v>plv 1x500 g</v>
          </cell>
          <cell r="F17">
            <v>621</v>
          </cell>
          <cell r="G17">
            <v>3588436.9</v>
          </cell>
          <cell r="H17">
            <v>0</v>
          </cell>
          <cell r="I17" t="str">
            <v>2q2007</v>
          </cell>
        </row>
        <row r="18">
          <cell r="A18" t="str">
            <v>D0193</v>
          </cell>
          <cell r="B18" t="str">
            <v>DP01A</v>
          </cell>
          <cell r="C18" t="str">
            <v>DP0</v>
          </cell>
          <cell r="D18" t="str">
            <v>APROMIX-T plus, tmavá nízkobielkovinová múka</v>
          </cell>
          <cell r="E18" t="str">
            <v>1 x 1000 g</v>
          </cell>
          <cell r="F18">
            <v>198</v>
          </cell>
          <cell r="G18">
            <v>19303</v>
          </cell>
          <cell r="H18">
            <v>12034.5</v>
          </cell>
          <cell r="I18" t="str">
            <v>2q2007</v>
          </cell>
        </row>
        <row r="19">
          <cell r="A19" t="str">
            <v>D0195</v>
          </cell>
          <cell r="B19" t="str">
            <v>DP01A</v>
          </cell>
          <cell r="C19" t="str">
            <v>DP0</v>
          </cell>
          <cell r="D19" t="str">
            <v>APROMIX-plus, nízkobielkovinová múka</v>
          </cell>
          <cell r="E19" t="str">
            <v>1 x 1000 g</v>
          </cell>
          <cell r="F19">
            <v>155</v>
          </cell>
          <cell r="G19">
            <v>15088.7</v>
          </cell>
          <cell r="H19">
            <v>9426.2999999999993</v>
          </cell>
          <cell r="I19" t="str">
            <v>2q2007</v>
          </cell>
        </row>
        <row r="20">
          <cell r="A20" t="str">
            <v>D0203</v>
          </cell>
          <cell r="B20" t="str">
            <v>DP01A</v>
          </cell>
          <cell r="C20" t="str">
            <v>DP0</v>
          </cell>
          <cell r="D20" t="str">
            <v>MINAPHLEX</v>
          </cell>
          <cell r="E20" t="str">
            <v>plv 1x 29 g</v>
          </cell>
          <cell r="F20">
            <v>2025</v>
          </cell>
          <cell r="G20">
            <v>479297</v>
          </cell>
          <cell r="H20">
            <v>5065</v>
          </cell>
          <cell r="I20" t="str">
            <v>2q2007</v>
          </cell>
        </row>
        <row r="21">
          <cell r="A21" t="str">
            <v>D0208</v>
          </cell>
          <cell r="B21" t="str">
            <v>DP01A</v>
          </cell>
          <cell r="C21" t="str">
            <v>DP0</v>
          </cell>
          <cell r="D21" t="str">
            <v>DAMIN LOW PROTEIN MIX</v>
          </cell>
          <cell r="E21" t="str">
            <v>1 x 400 g</v>
          </cell>
          <cell r="F21">
            <v>739</v>
          </cell>
          <cell r="G21">
            <v>82146.2</v>
          </cell>
          <cell r="H21">
            <v>35236.699999999997</v>
          </cell>
          <cell r="I21" t="str">
            <v>2q2007</v>
          </cell>
        </row>
        <row r="22">
          <cell r="A22" t="str">
            <v>D0209</v>
          </cell>
          <cell r="B22" t="str">
            <v>DP01A</v>
          </cell>
          <cell r="C22" t="str">
            <v>DP0</v>
          </cell>
          <cell r="D22" t="str">
            <v>LOPROFIN PKU milk drink</v>
          </cell>
          <cell r="E22" t="str">
            <v>sol 1x200 ml</v>
          </cell>
          <cell r="F22">
            <v>8</v>
          </cell>
          <cell r="G22">
            <v>192</v>
          </cell>
          <cell r="H22">
            <v>187.2</v>
          </cell>
          <cell r="I22" t="str">
            <v>2q2007</v>
          </cell>
        </row>
        <row r="23">
          <cell r="A23" t="str">
            <v>D0210</v>
          </cell>
          <cell r="B23" t="str">
            <v>DP01A</v>
          </cell>
          <cell r="C23" t="str">
            <v>DP0</v>
          </cell>
          <cell r="D23" t="str">
            <v>LOPROFIN dlhé špagety</v>
          </cell>
          <cell r="E23" t="str">
            <v>1x500 g</v>
          </cell>
          <cell r="F23">
            <v>30</v>
          </cell>
          <cell r="G23">
            <v>3251.1</v>
          </cell>
          <cell r="H23">
            <v>3248.1</v>
          </cell>
          <cell r="I23" t="str">
            <v>2q2007</v>
          </cell>
        </row>
        <row r="24">
          <cell r="A24" t="str">
            <v>D0211</v>
          </cell>
          <cell r="B24" t="str">
            <v>DP01A</v>
          </cell>
          <cell r="C24" t="str">
            <v>DP0</v>
          </cell>
          <cell r="D24" t="str">
            <v>LOPROFIN low protein herb crackers</v>
          </cell>
          <cell r="E24" t="str">
            <v>1x150 g</v>
          </cell>
          <cell r="F24">
            <v>14</v>
          </cell>
          <cell r="G24">
            <v>1421.9</v>
          </cell>
          <cell r="H24">
            <v>1420.5</v>
          </cell>
          <cell r="I24" t="str">
            <v>2q2007</v>
          </cell>
        </row>
        <row r="25">
          <cell r="A25" t="str">
            <v>D0212</v>
          </cell>
          <cell r="B25" t="str">
            <v>DP01A</v>
          </cell>
          <cell r="C25" t="str">
            <v>DP0</v>
          </cell>
          <cell r="D25" t="str">
            <v>MILUPA lp-drink</v>
          </cell>
          <cell r="E25" t="str">
            <v>1 x 400 g</v>
          </cell>
          <cell r="F25">
            <v>99</v>
          </cell>
          <cell r="G25">
            <v>39323</v>
          </cell>
          <cell r="H25">
            <v>16846.400000000001</v>
          </cell>
          <cell r="I25" t="str">
            <v>2q2007</v>
          </cell>
        </row>
        <row r="26">
          <cell r="A26" t="str">
            <v>D0213</v>
          </cell>
          <cell r="B26" t="str">
            <v>DP01A</v>
          </cell>
          <cell r="C26" t="str">
            <v>DP0</v>
          </cell>
          <cell r="D26" t="str">
            <v>MILUPA lp-flakes</v>
          </cell>
          <cell r="E26" t="str">
            <v>1x375 g</v>
          </cell>
          <cell r="F26">
            <v>28</v>
          </cell>
          <cell r="G26">
            <v>3810.3</v>
          </cell>
          <cell r="H26">
            <v>3810.3</v>
          </cell>
          <cell r="I26" t="str">
            <v>2q2007</v>
          </cell>
        </row>
        <row r="27">
          <cell r="A27" t="str">
            <v>D0214</v>
          </cell>
          <cell r="B27" t="str">
            <v>DP01A</v>
          </cell>
          <cell r="C27" t="str">
            <v>DP0</v>
          </cell>
          <cell r="D27" t="str">
            <v>MILUPA lp-ringlets</v>
          </cell>
          <cell r="E27" t="str">
            <v>1x250 g</v>
          </cell>
          <cell r="F27">
            <v>67</v>
          </cell>
          <cell r="G27">
            <v>6915.6</v>
          </cell>
          <cell r="H27">
            <v>6917.1</v>
          </cell>
          <cell r="I27" t="str">
            <v>2q2007</v>
          </cell>
        </row>
        <row r="28">
          <cell r="A28" t="str">
            <v>D0215</v>
          </cell>
          <cell r="B28" t="str">
            <v>DP01A</v>
          </cell>
          <cell r="C28" t="str">
            <v>DP0</v>
          </cell>
          <cell r="D28" t="str">
            <v>MILUPA BASIC-P</v>
          </cell>
          <cell r="E28" t="str">
            <v>plv 1x400 g</v>
          </cell>
          <cell r="F28">
            <v>203</v>
          </cell>
          <cell r="G28">
            <v>293032</v>
          </cell>
          <cell r="H28">
            <v>6813.4</v>
          </cell>
          <cell r="I28" t="str">
            <v>2q2007</v>
          </cell>
        </row>
        <row r="29">
          <cell r="A29" t="str">
            <v>D0216</v>
          </cell>
          <cell r="B29" t="str">
            <v>DP01A</v>
          </cell>
          <cell r="C29" t="str">
            <v>DP0</v>
          </cell>
          <cell r="D29" t="str">
            <v>MILUPA PKU 1 MIX</v>
          </cell>
          <cell r="E29" t="str">
            <v>plv 1x1000 g</v>
          </cell>
          <cell r="F29">
            <v>48</v>
          </cell>
          <cell r="G29">
            <v>222949.1</v>
          </cell>
          <cell r="H29">
            <v>0</v>
          </cell>
          <cell r="I29" t="str">
            <v>2q2007</v>
          </cell>
        </row>
        <row r="30">
          <cell r="A30" t="str">
            <v>D0245</v>
          </cell>
          <cell r="B30" t="str">
            <v>DP01A</v>
          </cell>
          <cell r="C30" t="str">
            <v>DP0</v>
          </cell>
          <cell r="D30" t="str">
            <v>SinPhe basic</v>
          </cell>
          <cell r="E30" t="str">
            <v>plv 1x500 g</v>
          </cell>
          <cell r="F30">
            <v>33</v>
          </cell>
          <cell r="G30">
            <v>189274.8</v>
          </cell>
          <cell r="H30">
            <v>0</v>
          </cell>
          <cell r="I30" t="str">
            <v>2q2007</v>
          </cell>
        </row>
        <row r="31">
          <cell r="A31" t="str">
            <v>D0249</v>
          </cell>
          <cell r="B31" t="str">
            <v>DP01A</v>
          </cell>
          <cell r="C31" t="str">
            <v>DP0</v>
          </cell>
          <cell r="D31" t="str">
            <v>EASIPHEN – pomaranč</v>
          </cell>
          <cell r="E31" t="str">
            <v>sol 1x250 ml</v>
          </cell>
          <cell r="F31">
            <v>211</v>
          </cell>
          <cell r="G31">
            <v>99170</v>
          </cell>
          <cell r="H31">
            <v>0</v>
          </cell>
          <cell r="I31" t="str">
            <v>2q2007</v>
          </cell>
        </row>
        <row r="32">
          <cell r="A32" t="str">
            <v>D0250</v>
          </cell>
          <cell r="B32" t="str">
            <v>DP01A</v>
          </cell>
          <cell r="C32" t="str">
            <v>DP0</v>
          </cell>
          <cell r="D32" t="str">
            <v>EASIPHEN lesné plody</v>
          </cell>
          <cell r="E32" t="str">
            <v>sol 1x250 ml</v>
          </cell>
          <cell r="F32">
            <v>1062</v>
          </cell>
          <cell r="G32">
            <v>498548</v>
          </cell>
          <cell r="H32">
            <v>0</v>
          </cell>
          <cell r="I32" t="str">
            <v>2q2007</v>
          </cell>
        </row>
        <row r="33">
          <cell r="A33" t="str">
            <v>D0261</v>
          </cell>
          <cell r="B33" t="str">
            <v>DP01A</v>
          </cell>
          <cell r="C33" t="str">
            <v>DP0</v>
          </cell>
          <cell r="D33" t="str">
            <v>MILUPA lp-drink s čokoládovou príchuťou</v>
          </cell>
          <cell r="E33" t="str">
            <v>1 x 320 g</v>
          </cell>
          <cell r="F33">
            <v>29</v>
          </cell>
          <cell r="G33">
            <v>9217.7000000000007</v>
          </cell>
          <cell r="H33">
            <v>3949.1</v>
          </cell>
          <cell r="I33" t="str">
            <v>2q2007</v>
          </cell>
        </row>
        <row r="34">
          <cell r="A34" t="str">
            <v>D0262</v>
          </cell>
          <cell r="B34" t="str">
            <v>DP01A</v>
          </cell>
          <cell r="C34" t="str">
            <v>DP0</v>
          </cell>
          <cell r="D34" t="str">
            <v>MILUPA PKU 3 advanta   </v>
          </cell>
          <cell r="E34" t="str">
            <v>plv 1x500 g</v>
          </cell>
          <cell r="F34">
            <v>509</v>
          </cell>
          <cell r="G34">
            <v>3771079.2</v>
          </cell>
          <cell r="H34">
            <v>0</v>
          </cell>
          <cell r="I34" t="str">
            <v>2q2007</v>
          </cell>
        </row>
        <row r="35">
          <cell r="A35" t="str">
            <v>D0263</v>
          </cell>
          <cell r="B35" t="str">
            <v>DP01A</v>
          </cell>
          <cell r="C35" t="str">
            <v>DP0</v>
          </cell>
          <cell r="D35" t="str">
            <v>MILUPA PKU 3 activa rajčinová</v>
          </cell>
          <cell r="E35" t="str">
            <v>plv 1x45 g</v>
          </cell>
          <cell r="F35">
            <v>60</v>
          </cell>
          <cell r="G35">
            <v>18540</v>
          </cell>
          <cell r="H35">
            <v>660</v>
          </cell>
          <cell r="I35" t="str">
            <v>2q2007</v>
          </cell>
        </row>
        <row r="36">
          <cell r="A36" t="str">
            <v>D0264</v>
          </cell>
          <cell r="B36" t="str">
            <v>DP01A</v>
          </cell>
          <cell r="C36" t="str">
            <v>DP0</v>
          </cell>
          <cell r="D36" t="str">
            <v>MILUPA PKU 2 activa rajčinová     </v>
          </cell>
          <cell r="E36" t="str">
            <v>plv 1x45 g</v>
          </cell>
          <cell r="F36">
            <v>60</v>
          </cell>
          <cell r="G36">
            <v>18540</v>
          </cell>
          <cell r="H36">
            <v>660</v>
          </cell>
          <cell r="I36" t="str">
            <v>2q2007</v>
          </cell>
        </row>
        <row r="37">
          <cell r="A37" t="str">
            <v>D0265</v>
          </cell>
          <cell r="B37" t="str">
            <v>DP01A</v>
          </cell>
          <cell r="C37" t="str">
            <v>DP0</v>
          </cell>
          <cell r="D37" t="str">
            <v>MILUPA PKU 2 secunda      </v>
          </cell>
          <cell r="E37" t="str">
            <v>plv 1x500 g</v>
          </cell>
          <cell r="F37">
            <v>194</v>
          </cell>
          <cell r="G37">
            <v>1425105.8</v>
          </cell>
          <cell r="H37">
            <v>0</v>
          </cell>
          <cell r="I37" t="str">
            <v>2q2007</v>
          </cell>
        </row>
        <row r="38">
          <cell r="A38" t="str">
            <v>D0266</v>
          </cell>
          <cell r="B38" t="str">
            <v>DP01A</v>
          </cell>
          <cell r="C38" t="str">
            <v>DP0</v>
          </cell>
          <cell r="D38" t="str">
            <v>EASIPHEN – tropické ovocie</v>
          </cell>
          <cell r="E38" t="str">
            <v>sol 1x250 ml</v>
          </cell>
          <cell r="F38">
            <v>662</v>
          </cell>
          <cell r="G38">
            <v>311140</v>
          </cell>
          <cell r="H38">
            <v>0</v>
          </cell>
          <cell r="I38" t="str">
            <v>2q2007</v>
          </cell>
        </row>
        <row r="39">
          <cell r="A39" t="str">
            <v>D0267</v>
          </cell>
          <cell r="B39" t="str">
            <v>DP01A</v>
          </cell>
          <cell r="C39" t="str">
            <v>DP0</v>
          </cell>
          <cell r="D39" t="str">
            <v>MILUPA PKU 2 prima</v>
          </cell>
          <cell r="E39" t="str">
            <v>plv 1x500 g</v>
          </cell>
          <cell r="F39">
            <v>88</v>
          </cell>
          <cell r="G39">
            <v>558835.19999999995</v>
          </cell>
          <cell r="H39">
            <v>0</v>
          </cell>
          <cell r="I39" t="str">
            <v>2q2007</v>
          </cell>
        </row>
        <row r="40">
          <cell r="A40" t="str">
            <v>D0268</v>
          </cell>
          <cell r="B40" t="str">
            <v>DP01A</v>
          </cell>
          <cell r="C40" t="str">
            <v>DP0</v>
          </cell>
          <cell r="D40" t="str">
            <v>LOPHLEX pomaranč</v>
          </cell>
          <cell r="E40" t="str">
            <v>plv 1x28,7 g</v>
          </cell>
          <cell r="F40">
            <v>135</v>
          </cell>
          <cell r="G40">
            <v>79380</v>
          </cell>
          <cell r="H40">
            <v>810</v>
          </cell>
          <cell r="I40" t="str">
            <v>2q2007</v>
          </cell>
        </row>
        <row r="41">
          <cell r="A41" t="str">
            <v>D0269</v>
          </cell>
          <cell r="B41" t="str">
            <v>DP01A</v>
          </cell>
          <cell r="C41" t="str">
            <v>DP0</v>
          </cell>
          <cell r="D41" t="str">
            <v>LOPHLEX lesné ovocie</v>
          </cell>
          <cell r="E41" t="str">
            <v>plv 1x28,7 g</v>
          </cell>
          <cell r="F41">
            <v>175</v>
          </cell>
          <cell r="G41">
            <v>102960</v>
          </cell>
          <cell r="H41">
            <v>990</v>
          </cell>
          <cell r="I41" t="str">
            <v>2q2007</v>
          </cell>
        </row>
        <row r="42">
          <cell r="A42" t="str">
            <v>D0275</v>
          </cell>
          <cell r="B42" t="str">
            <v>DP01A</v>
          </cell>
          <cell r="C42" t="str">
            <v>DP0</v>
          </cell>
          <cell r="D42" t="str">
            <v>HARIFEN - múka na nízkobielkoviný a bezlepkový chlieb a pečivo</v>
          </cell>
          <cell r="E42" t="str">
            <v>1 x 500 g</v>
          </cell>
          <cell r="F42">
            <v>1</v>
          </cell>
          <cell r="G42">
            <v>50</v>
          </cell>
          <cell r="H42">
            <v>148</v>
          </cell>
          <cell r="I42" t="str">
            <v>2q2007</v>
          </cell>
        </row>
        <row r="43">
          <cell r="A43" t="str">
            <v>D0276</v>
          </cell>
          <cell r="B43" t="str">
            <v>DP01A</v>
          </cell>
          <cell r="C43" t="str">
            <v>DP0</v>
          </cell>
          <cell r="D43" t="str">
            <v>HARIFEN - nízkobielkovinové sušienky s príchťou (kakao, vanilka,karamel)</v>
          </cell>
          <cell r="E43" t="str">
            <v>1 x 125g</v>
          </cell>
          <cell r="F43">
            <v>3</v>
          </cell>
          <cell r="G43">
            <v>44.4</v>
          </cell>
          <cell r="H43">
            <v>422.7</v>
          </cell>
          <cell r="I43" t="str">
            <v>2q2007</v>
          </cell>
        </row>
        <row r="44">
          <cell r="A44" t="str">
            <v>D0277</v>
          </cell>
          <cell r="B44" t="str">
            <v>DP01A</v>
          </cell>
          <cell r="C44" t="str">
            <v>DP0</v>
          </cell>
          <cell r="D44" t="str">
            <v>Spezialgriess - nízkobielkovinová krupica</v>
          </cell>
          <cell r="E44" t="str">
            <v>1 x 500 g</v>
          </cell>
          <cell r="F44">
            <v>3</v>
          </cell>
          <cell r="G44">
            <v>149.6</v>
          </cell>
          <cell r="H44">
            <v>1041.0999999999999</v>
          </cell>
          <cell r="I44" t="str">
            <v>2q2007</v>
          </cell>
        </row>
        <row r="45">
          <cell r="A45" t="str">
            <v>D0285</v>
          </cell>
          <cell r="B45" t="str">
            <v>DP01A</v>
          </cell>
          <cell r="C45" t="str">
            <v>DP0</v>
          </cell>
          <cell r="D45" t="str">
            <v>LOPROFIN low protein ryža</v>
          </cell>
          <cell r="E45" t="str">
            <v>1 x 500 g</v>
          </cell>
          <cell r="F45">
            <v>8</v>
          </cell>
          <cell r="G45">
            <v>479.7</v>
          </cell>
          <cell r="H45">
            <v>1247.2</v>
          </cell>
          <cell r="I45" t="str">
            <v>2q2007</v>
          </cell>
        </row>
        <row r="46">
          <cell r="B46" t="str">
            <v>DP01A Celkom</v>
          </cell>
          <cell r="F46">
            <v>13418</v>
          </cell>
          <cell r="G46">
            <v>24244751</v>
          </cell>
          <cell r="H46">
            <v>216626.90000000002</v>
          </cell>
        </row>
        <row r="47">
          <cell r="A47" t="str">
            <v>D0092</v>
          </cell>
          <cell r="B47" t="str">
            <v>DP01B</v>
          </cell>
          <cell r="C47" t="str">
            <v>DP0</v>
          </cell>
          <cell r="D47" t="str">
            <v>PT-AM 2</v>
          </cell>
          <cell r="E47" t="str">
            <v>plv 1x400 g</v>
          </cell>
          <cell r="F47">
            <v>4</v>
          </cell>
          <cell r="G47">
            <v>25628.400000000001</v>
          </cell>
          <cell r="H47">
            <v>0</v>
          </cell>
          <cell r="I47" t="str">
            <v>2q2007</v>
          </cell>
        </row>
        <row r="48">
          <cell r="B48" t="str">
            <v>DP01B Celkom</v>
          </cell>
          <cell r="F48">
            <v>4</v>
          </cell>
          <cell r="G48">
            <v>25628.400000000001</v>
          </cell>
          <cell r="H48">
            <v>0</v>
          </cell>
        </row>
        <row r="49">
          <cell r="A49" t="str">
            <v>D0108</v>
          </cell>
          <cell r="B49" t="str">
            <v>DP01C</v>
          </cell>
          <cell r="C49" t="str">
            <v>DP0</v>
          </cell>
          <cell r="D49" t="str">
            <v>ILV-AM 2</v>
          </cell>
          <cell r="E49" t="str">
            <v>plv 1x400 g</v>
          </cell>
          <cell r="F49">
            <v>9</v>
          </cell>
          <cell r="G49">
            <v>59466.6</v>
          </cell>
          <cell r="H49">
            <v>0</v>
          </cell>
          <cell r="I49" t="str">
            <v>2q2007</v>
          </cell>
        </row>
        <row r="50">
          <cell r="A50" t="str">
            <v>D0109</v>
          </cell>
          <cell r="B50" t="str">
            <v>DP01C</v>
          </cell>
          <cell r="C50" t="str">
            <v>DP0</v>
          </cell>
          <cell r="D50" t="str">
            <v>ILV-AM 3</v>
          </cell>
          <cell r="E50" t="str">
            <v>plv 1x400 g</v>
          </cell>
          <cell r="F50">
            <v>15</v>
          </cell>
          <cell r="G50">
            <v>99111</v>
          </cell>
          <cell r="H50">
            <v>0</v>
          </cell>
          <cell r="I50" t="str">
            <v>2q2007</v>
          </cell>
        </row>
        <row r="51">
          <cell r="B51" t="str">
            <v>DP01C Celkom</v>
          </cell>
          <cell r="F51">
            <v>24</v>
          </cell>
          <cell r="G51">
            <v>158577.60000000001</v>
          </cell>
          <cell r="H51">
            <v>0</v>
          </cell>
        </row>
        <row r="52">
          <cell r="A52" t="str">
            <v>D0086</v>
          </cell>
          <cell r="B52" t="str">
            <v>DP01D</v>
          </cell>
          <cell r="C52" t="str">
            <v>DP0</v>
          </cell>
          <cell r="D52" t="str">
            <v>MILUPA HOM 2</v>
          </cell>
          <cell r="E52" t="str">
            <v>plv 1x500 g</v>
          </cell>
          <cell r="F52">
            <v>40</v>
          </cell>
          <cell r="G52">
            <v>276288</v>
          </cell>
          <cell r="H52">
            <v>0</v>
          </cell>
          <cell r="I52" t="str">
            <v>2q2007</v>
          </cell>
        </row>
        <row r="53">
          <cell r="A53" t="str">
            <v>D0106</v>
          </cell>
          <cell r="B53" t="str">
            <v>DP01D</v>
          </cell>
          <cell r="C53" t="str">
            <v>DP0</v>
          </cell>
          <cell r="D53" t="str">
            <v>M-AM 3</v>
          </cell>
          <cell r="E53" t="str">
            <v>plv 1x400 g</v>
          </cell>
          <cell r="F53">
            <v>181</v>
          </cell>
          <cell r="G53">
            <v>1191670.3</v>
          </cell>
          <cell r="H53">
            <v>0</v>
          </cell>
          <cell r="I53" t="str">
            <v>2q2007</v>
          </cell>
        </row>
        <row r="54">
          <cell r="B54" t="str">
            <v>DP01D Celkom</v>
          </cell>
          <cell r="F54">
            <v>221</v>
          </cell>
          <cell r="G54">
            <v>1467958.3</v>
          </cell>
          <cell r="H54">
            <v>0</v>
          </cell>
        </row>
        <row r="55">
          <cell r="A55" t="str">
            <v>D0095</v>
          </cell>
          <cell r="B55" t="str">
            <v>DP01E</v>
          </cell>
          <cell r="C55" t="str">
            <v>DP0</v>
          </cell>
          <cell r="D55" t="str">
            <v>LT-AM 2</v>
          </cell>
          <cell r="E55" t="str">
            <v>plv 1x400 g</v>
          </cell>
          <cell r="F55">
            <v>6</v>
          </cell>
          <cell r="G55">
            <v>44412.6</v>
          </cell>
          <cell r="H55">
            <v>0</v>
          </cell>
          <cell r="I55" t="str">
            <v>2q2007</v>
          </cell>
        </row>
        <row r="56">
          <cell r="B56" t="str">
            <v>DP01E Celkom</v>
          </cell>
          <cell r="F56">
            <v>6</v>
          </cell>
          <cell r="G56">
            <v>44412.6</v>
          </cell>
          <cell r="H56">
            <v>0</v>
          </cell>
        </row>
        <row r="57">
          <cell r="A57" t="str">
            <v>D0102</v>
          </cell>
          <cell r="B57" t="str">
            <v>DP01G</v>
          </cell>
          <cell r="C57" t="str">
            <v>DP0</v>
          </cell>
          <cell r="D57" t="str">
            <v>IMTV-AM 2</v>
          </cell>
          <cell r="E57" t="str">
            <v>plv 1x400 g</v>
          </cell>
          <cell r="F57">
            <v>14</v>
          </cell>
          <cell r="G57">
            <v>92503.6</v>
          </cell>
          <cell r="H57">
            <v>0</v>
          </cell>
          <cell r="I57" t="str">
            <v>2q2007</v>
          </cell>
        </row>
        <row r="58">
          <cell r="A58" t="str">
            <v>D0103</v>
          </cell>
          <cell r="B58" t="str">
            <v>DP01G</v>
          </cell>
          <cell r="C58" t="str">
            <v>DP0</v>
          </cell>
          <cell r="D58" t="str">
            <v>IMTV-AM 3</v>
          </cell>
          <cell r="E58" t="str">
            <v>plv 1x400 g</v>
          </cell>
          <cell r="F58">
            <v>13</v>
          </cell>
          <cell r="G58">
            <v>85896.2</v>
          </cell>
          <cell r="H58">
            <v>0</v>
          </cell>
          <cell r="I58" t="str">
            <v>2q2007</v>
          </cell>
        </row>
        <row r="59">
          <cell r="A59" t="str">
            <v>D0248</v>
          </cell>
          <cell r="B59" t="str">
            <v>DP01G</v>
          </cell>
          <cell r="C59" t="str">
            <v>DP0</v>
          </cell>
          <cell r="D59" t="str">
            <v>MILUPA OS 1</v>
          </cell>
          <cell r="E59" t="str">
            <v>plv 1x500 g</v>
          </cell>
          <cell r="F59">
            <v>3</v>
          </cell>
          <cell r="G59">
            <v>12225</v>
          </cell>
          <cell r="H59">
            <v>0</v>
          </cell>
          <cell r="I59" t="str">
            <v>2q2007</v>
          </cell>
        </row>
        <row r="60">
          <cell r="B60" t="str">
            <v>DP01G Celkom</v>
          </cell>
          <cell r="F60">
            <v>30</v>
          </cell>
          <cell r="G60">
            <v>190624.8</v>
          </cell>
          <cell r="H60">
            <v>0</v>
          </cell>
        </row>
        <row r="61">
          <cell r="A61" t="str">
            <v>D0097</v>
          </cell>
          <cell r="B61" t="str">
            <v>DP01H</v>
          </cell>
          <cell r="C61" t="str">
            <v>DP0</v>
          </cell>
          <cell r="D61" t="str">
            <v>E-AM 2</v>
          </cell>
          <cell r="E61" t="str">
            <v>plv 1x400 g</v>
          </cell>
          <cell r="F61">
            <v>7</v>
          </cell>
          <cell r="G61">
            <v>50002.400000000001</v>
          </cell>
          <cell r="H61">
            <v>0</v>
          </cell>
          <cell r="I61" t="str">
            <v>2q2007</v>
          </cell>
        </row>
        <row r="62">
          <cell r="A62" t="str">
            <v>D0098</v>
          </cell>
          <cell r="B62" t="str">
            <v>DP01H</v>
          </cell>
          <cell r="C62" t="str">
            <v>DP0</v>
          </cell>
          <cell r="D62" t="str">
            <v>E-AM 3</v>
          </cell>
          <cell r="E62" t="str">
            <v>plv 1x400 g</v>
          </cell>
          <cell r="F62">
            <v>10</v>
          </cell>
          <cell r="G62">
            <v>85428</v>
          </cell>
          <cell r="H62">
            <v>0</v>
          </cell>
          <cell r="I62" t="str">
            <v>2q2007</v>
          </cell>
        </row>
        <row r="63">
          <cell r="B63" t="str">
            <v>DP01H Celkom</v>
          </cell>
          <cell r="F63">
            <v>17</v>
          </cell>
          <cell r="G63">
            <v>135430.39999999999</v>
          </cell>
          <cell r="H63">
            <v>0</v>
          </cell>
        </row>
        <row r="64">
          <cell r="A64" t="str">
            <v>D0198</v>
          </cell>
          <cell r="B64" t="str">
            <v>DP01I</v>
          </cell>
          <cell r="C64" t="str">
            <v>DP0</v>
          </cell>
          <cell r="D64" t="str">
            <v>KETOCAL - vanilka</v>
          </cell>
          <cell r="E64" t="str">
            <v>plv 1 x 300 g</v>
          </cell>
          <cell r="F64">
            <v>52</v>
          </cell>
          <cell r="G64">
            <v>84196</v>
          </cell>
          <cell r="H64">
            <v>1718</v>
          </cell>
          <cell r="I64" t="str">
            <v>2q2007</v>
          </cell>
        </row>
        <row r="65">
          <cell r="B65" t="str">
            <v>DP01I Celkom</v>
          </cell>
          <cell r="F65">
            <v>52</v>
          </cell>
          <cell r="G65">
            <v>84196</v>
          </cell>
          <cell r="H65">
            <v>1718</v>
          </cell>
        </row>
        <row r="66">
          <cell r="A66" t="str">
            <v>D0170</v>
          </cell>
          <cell r="B66" t="str">
            <v>DP01J</v>
          </cell>
          <cell r="C66" t="str">
            <v>DP0</v>
          </cell>
          <cell r="D66" t="str">
            <v>PROMIX-CH, zmes na prípravu bezlepkového chleba</v>
          </cell>
          <cell r="E66" t="str">
            <v>plv 1 x 1000 g</v>
          </cell>
          <cell r="F66">
            <v>11522</v>
          </cell>
          <cell r="G66">
            <v>879755.9</v>
          </cell>
          <cell r="H66">
            <v>386993.19</v>
          </cell>
          <cell r="I66" t="str">
            <v>2q2007</v>
          </cell>
        </row>
        <row r="67">
          <cell r="A67" t="str">
            <v>D0171</v>
          </cell>
          <cell r="B67" t="str">
            <v>DP01J</v>
          </cell>
          <cell r="C67" t="str">
            <v>DP0</v>
          </cell>
          <cell r="D67" t="str">
            <v>PROMIX-PK, zmes na bezlepkové pečivo</v>
          </cell>
          <cell r="E67" t="str">
            <v>plv 1 x 1000 g</v>
          </cell>
          <cell r="F67">
            <v>7669</v>
          </cell>
          <cell r="G67">
            <v>585647.80000000005</v>
          </cell>
          <cell r="H67">
            <v>257761.2</v>
          </cell>
          <cell r="I67" t="str">
            <v>2q2007</v>
          </cell>
        </row>
        <row r="68">
          <cell r="A68" t="str">
            <v>D0172</v>
          </cell>
          <cell r="B68" t="str">
            <v>DP01J</v>
          </cell>
          <cell r="C68" t="str">
            <v>DP0</v>
          </cell>
          <cell r="D68" t="str">
            <v>PROMIX-UNI, univerzálna bezlepková múka</v>
          </cell>
          <cell r="E68" t="str">
            <v>plv 1 x 1000 g</v>
          </cell>
          <cell r="F68">
            <v>12206</v>
          </cell>
          <cell r="G68">
            <v>1192434.8</v>
          </cell>
          <cell r="H68">
            <v>377092.38</v>
          </cell>
          <cell r="I68" t="str">
            <v>2q2007</v>
          </cell>
        </row>
        <row r="69">
          <cell r="A69" t="str">
            <v>D0173</v>
          </cell>
          <cell r="B69" t="str">
            <v>DP01J</v>
          </cell>
          <cell r="C69" t="str">
            <v>DP0</v>
          </cell>
          <cell r="D69" t="str">
            <v>PROMIX-T, univerzálna bezlepková múka tmavá</v>
          </cell>
          <cell r="E69" t="str">
            <v>plv 1 x 1000 g</v>
          </cell>
          <cell r="F69">
            <v>4100</v>
          </cell>
          <cell r="G69">
            <v>401025.4</v>
          </cell>
          <cell r="H69">
            <v>126648.4</v>
          </cell>
          <cell r="I69" t="str">
            <v>2q2007</v>
          </cell>
        </row>
        <row r="70">
          <cell r="A70" t="str">
            <v>D0175</v>
          </cell>
          <cell r="B70" t="str">
            <v>DP01J</v>
          </cell>
          <cell r="C70" t="str">
            <v>DP0</v>
          </cell>
          <cell r="D70" t="str">
            <v>KRUPICA bezlepková</v>
          </cell>
          <cell r="E70" t="str">
            <v>plv 1 x 500 g</v>
          </cell>
          <cell r="F70">
            <v>1531</v>
          </cell>
          <cell r="G70">
            <v>75298.899999999994</v>
          </cell>
          <cell r="H70">
            <v>81158.100000000006</v>
          </cell>
          <cell r="I70" t="str">
            <v>2q2007</v>
          </cell>
        </row>
        <row r="71">
          <cell r="A71" t="str">
            <v>D0180</v>
          </cell>
          <cell r="B71" t="str">
            <v>DP01J</v>
          </cell>
          <cell r="C71" t="str">
            <v>DP0</v>
          </cell>
          <cell r="D71" t="str">
            <v>PROCEL – bezlepkové cestoviny</v>
          </cell>
          <cell r="E71" t="str">
            <v>1x250 g</v>
          </cell>
          <cell r="F71">
            <v>27915</v>
          </cell>
          <cell r="G71">
            <v>917478.02</v>
          </cell>
          <cell r="H71">
            <v>945701.69</v>
          </cell>
          <cell r="I71" t="str">
            <v>2q2007</v>
          </cell>
        </row>
        <row r="72">
          <cell r="A72" t="str">
            <v>D0185</v>
          </cell>
          <cell r="B72" t="str">
            <v>DP01J</v>
          </cell>
          <cell r="C72" t="str">
            <v>DP0</v>
          </cell>
          <cell r="D72" t="str">
            <v>CHLIEB bezlepkový svetlý (trvanlivý)</v>
          </cell>
          <cell r="E72" t="str">
            <v>1x360 g</v>
          </cell>
          <cell r="F72">
            <v>1030</v>
          </cell>
          <cell r="G72">
            <v>47790.3</v>
          </cell>
          <cell r="H72">
            <v>47444.1</v>
          </cell>
          <cell r="I72" t="str">
            <v>2q2007</v>
          </cell>
        </row>
        <row r="73">
          <cell r="A73" t="str">
            <v>D0188</v>
          </cell>
          <cell r="B73" t="str">
            <v>DP01J</v>
          </cell>
          <cell r="C73" t="str">
            <v>DP0</v>
          </cell>
          <cell r="D73" t="str">
            <v>BEZLEPKOVÝ CHLIEB mazanec</v>
          </cell>
          <cell r="E73" t="str">
            <v>1x500 g</v>
          </cell>
          <cell r="F73">
            <v>335</v>
          </cell>
          <cell r="G73">
            <v>12999.8</v>
          </cell>
          <cell r="H73">
            <v>4075</v>
          </cell>
          <cell r="I73" t="str">
            <v>2q2007</v>
          </cell>
        </row>
        <row r="74">
          <cell r="A74" t="str">
            <v>D0189</v>
          </cell>
          <cell r="B74" t="str">
            <v>DP01J</v>
          </cell>
          <cell r="C74" t="str">
            <v>DP0</v>
          </cell>
          <cell r="D74" t="str">
            <v>BEZLEPKOVÝ CHLIEB tmavý</v>
          </cell>
          <cell r="E74" t="str">
            <v>1x500 g</v>
          </cell>
          <cell r="F74">
            <v>736</v>
          </cell>
          <cell r="G74">
            <v>28592.1</v>
          </cell>
          <cell r="H74">
            <v>8927.7999999999993</v>
          </cell>
          <cell r="I74" t="str">
            <v>2q2007</v>
          </cell>
        </row>
        <row r="75">
          <cell r="A75" t="str">
            <v>D0190</v>
          </cell>
          <cell r="B75" t="str">
            <v>DP01J</v>
          </cell>
          <cell r="C75" t="str">
            <v>DP0</v>
          </cell>
          <cell r="D75" t="str">
            <v>BEZLEPKOVÝ CHLIEB svetlý</v>
          </cell>
          <cell r="E75" t="str">
            <v>1x500 g</v>
          </cell>
          <cell r="F75">
            <v>613</v>
          </cell>
          <cell r="G75">
            <v>23595.5</v>
          </cell>
          <cell r="H75">
            <v>7382.4</v>
          </cell>
          <cell r="I75" t="str">
            <v>2q2007</v>
          </cell>
        </row>
        <row r="76">
          <cell r="A76" t="str">
            <v>D0194</v>
          </cell>
          <cell r="B76" t="str">
            <v>DP01J</v>
          </cell>
          <cell r="C76" t="str">
            <v>DP0</v>
          </cell>
          <cell r="D76" t="str">
            <v>PROMIX-FORTE, silná bezlepková múka</v>
          </cell>
          <cell r="E76" t="str">
            <v>plv 1 x 1000 g</v>
          </cell>
          <cell r="F76">
            <v>3867</v>
          </cell>
          <cell r="G76">
            <v>379227.6</v>
          </cell>
          <cell r="H76">
            <v>236297.1</v>
          </cell>
          <cell r="I76" t="str">
            <v>2q2007</v>
          </cell>
        </row>
        <row r="77">
          <cell r="A77" t="str">
            <v>D0251</v>
          </cell>
          <cell r="B77" t="str">
            <v>DP01J</v>
          </cell>
          <cell r="C77" t="str">
            <v>DP0</v>
          </cell>
          <cell r="D77" t="str">
            <v>Chlieb bezlepkový tmavý (trvanlivý)</v>
          </cell>
          <cell r="E77" t="str">
            <v>1x360 g</v>
          </cell>
          <cell r="F77">
            <v>867.03</v>
          </cell>
          <cell r="G77">
            <v>39485.9</v>
          </cell>
          <cell r="H77">
            <v>40368.43</v>
          </cell>
          <cell r="I77" t="str">
            <v>2q2007</v>
          </cell>
        </row>
        <row r="78">
          <cell r="A78" t="str">
            <v>D0252</v>
          </cell>
          <cell r="B78" t="str">
            <v>DP01J</v>
          </cell>
          <cell r="C78" t="str">
            <v>DP0</v>
          </cell>
          <cell r="D78" t="str">
            <v>Limky -diétne keksy vanilkové máčané (bezlepkové)</v>
          </cell>
          <cell r="E78" t="str">
            <v>1x150 g</v>
          </cell>
          <cell r="F78">
            <v>941</v>
          </cell>
          <cell r="G78">
            <v>5932.9</v>
          </cell>
          <cell r="H78">
            <v>51674</v>
          </cell>
          <cell r="I78" t="str">
            <v>2q2007</v>
          </cell>
        </row>
        <row r="79">
          <cell r="A79" t="str">
            <v>D0253</v>
          </cell>
          <cell r="B79" t="str">
            <v>DP01J</v>
          </cell>
          <cell r="C79" t="str">
            <v>DP0</v>
          </cell>
          <cell r="D79" t="str">
            <v>Limky -diétne keksy kakaové plnené (bezlepkové)</v>
          </cell>
          <cell r="E79" t="str">
            <v>1x150 g</v>
          </cell>
          <cell r="F79">
            <v>1034</v>
          </cell>
          <cell r="G79">
            <v>6415.5</v>
          </cell>
          <cell r="H79">
            <v>56794</v>
          </cell>
          <cell r="I79" t="str">
            <v>2q2007</v>
          </cell>
        </row>
        <row r="80">
          <cell r="A80" t="str">
            <v>D0254</v>
          </cell>
          <cell r="B80" t="str">
            <v>DP01J</v>
          </cell>
          <cell r="C80" t="str">
            <v>DP0</v>
          </cell>
          <cell r="D80" t="str">
            <v>Strúhanka bezlepková pečivová</v>
          </cell>
          <cell r="E80" t="str">
            <v>plv 1x350 g</v>
          </cell>
          <cell r="F80">
            <v>2667</v>
          </cell>
          <cell r="G80">
            <v>90146</v>
          </cell>
          <cell r="H80">
            <v>129652.5</v>
          </cell>
          <cell r="I80" t="str">
            <v>2q2007</v>
          </cell>
        </row>
        <row r="81">
          <cell r="A81" t="str">
            <v>D0256</v>
          </cell>
          <cell r="B81" t="str">
            <v>DP01J</v>
          </cell>
          <cell r="C81" t="str">
            <v>DP0</v>
          </cell>
          <cell r="D81" t="str">
            <v>Cícerová múka instantná</v>
          </cell>
          <cell r="E81" t="str">
            <v>plv 1x500 g</v>
          </cell>
          <cell r="F81">
            <v>49</v>
          </cell>
          <cell r="G81">
            <v>1910.9</v>
          </cell>
          <cell r="H81">
            <v>2106.6999999999998</v>
          </cell>
          <cell r="I81" t="str">
            <v>2q2007</v>
          </cell>
        </row>
        <row r="82">
          <cell r="A82" t="str">
            <v>D0271</v>
          </cell>
          <cell r="B82" t="str">
            <v>DP01J</v>
          </cell>
          <cell r="C82" t="str">
            <v>DP0</v>
          </cell>
          <cell r="D82" t="str">
            <v>Linia natural</v>
          </cell>
          <cell r="E82" t="str">
            <v>375 g</v>
          </cell>
          <cell r="F82">
            <v>16</v>
          </cell>
          <cell r="G82">
            <v>780.8</v>
          </cell>
          <cell r="H82">
            <v>585.4</v>
          </cell>
          <cell r="I82" t="str">
            <v>2q2007</v>
          </cell>
        </row>
        <row r="83">
          <cell r="A83" t="str">
            <v>D0272</v>
          </cell>
          <cell r="B83" t="str">
            <v>DP01J</v>
          </cell>
          <cell r="C83" t="str">
            <v>DP0</v>
          </cell>
          <cell r="D83" t="str">
            <v>Knedľa bezlepková v prášku</v>
          </cell>
          <cell r="E83" t="str">
            <v>250 g</v>
          </cell>
          <cell r="F83">
            <v>437</v>
          </cell>
          <cell r="G83">
            <v>8185.1</v>
          </cell>
          <cell r="H83">
            <v>7579.4</v>
          </cell>
          <cell r="I83" t="str">
            <v>2q2007</v>
          </cell>
        </row>
        <row r="84">
          <cell r="A84" t="str">
            <v>D0289</v>
          </cell>
          <cell r="B84" t="str">
            <v>DP01J</v>
          </cell>
          <cell r="C84" t="str">
            <v>DP0</v>
          </cell>
          <cell r="D84" t="str">
            <v>Bezgluténové musli</v>
          </cell>
          <cell r="E84" t="str">
            <v>375 g</v>
          </cell>
          <cell r="F84">
            <v>144</v>
          </cell>
          <cell r="G84">
            <v>2115.8000000000002</v>
          </cell>
          <cell r="H84">
            <v>19147</v>
          </cell>
          <cell r="I84" t="str">
            <v>2q2007</v>
          </cell>
        </row>
        <row r="85">
          <cell r="A85" t="str">
            <v>D0290</v>
          </cell>
          <cell r="B85" t="str">
            <v>DP01J</v>
          </cell>
          <cell r="C85" t="str">
            <v>DP0</v>
          </cell>
          <cell r="D85" t="str">
            <v>Pan Carré - bezlepkový biely chlieb</v>
          </cell>
          <cell r="E85" t="str">
            <v>400 g</v>
          </cell>
          <cell r="F85">
            <v>1151</v>
          </cell>
          <cell r="G85">
            <v>56523.199999999997</v>
          </cell>
          <cell r="H85">
            <v>72128.899999999994</v>
          </cell>
          <cell r="I85" t="str">
            <v>2q2007</v>
          </cell>
        </row>
        <row r="86">
          <cell r="A86" t="str">
            <v>D0291</v>
          </cell>
          <cell r="B86" t="str">
            <v>DP01J</v>
          </cell>
          <cell r="C86" t="str">
            <v>DP0</v>
          </cell>
          <cell r="D86" t="str">
            <v>Rustico - bezlepkový plnozrnný chlieb</v>
          </cell>
          <cell r="E86" t="str">
            <v>400 g</v>
          </cell>
          <cell r="F86">
            <v>451</v>
          </cell>
          <cell r="G86">
            <v>22244</v>
          </cell>
          <cell r="H86">
            <v>33771.1</v>
          </cell>
          <cell r="I86" t="str">
            <v>2q2007</v>
          </cell>
        </row>
        <row r="87">
          <cell r="A87" t="str">
            <v>D0292</v>
          </cell>
          <cell r="B87" t="str">
            <v>DP01J</v>
          </cell>
          <cell r="C87" t="str">
            <v>DP0</v>
          </cell>
          <cell r="D87" t="str">
            <v>Panini - bezlepkové biele žemle</v>
          </cell>
          <cell r="E87" t="str">
            <v>200 g</v>
          </cell>
          <cell r="F87">
            <v>820</v>
          </cell>
          <cell r="G87">
            <v>19968.599999999999</v>
          </cell>
          <cell r="H87">
            <v>42632.7</v>
          </cell>
          <cell r="I87" t="str">
            <v>2q2007</v>
          </cell>
        </row>
        <row r="88">
          <cell r="A88" t="str">
            <v>D0293</v>
          </cell>
          <cell r="B88" t="str">
            <v>DP01J</v>
          </cell>
          <cell r="C88" t="str">
            <v>DP0</v>
          </cell>
          <cell r="D88" t="str">
            <v>Bon Matin - bezlepkové sladké žemle</v>
          </cell>
          <cell r="E88" t="str">
            <v>200 g</v>
          </cell>
          <cell r="F88">
            <v>961</v>
          </cell>
          <cell r="G88">
            <v>23700.6</v>
          </cell>
          <cell r="H88">
            <v>61177.2</v>
          </cell>
          <cell r="I88" t="str">
            <v>2q2007</v>
          </cell>
        </row>
        <row r="89">
          <cell r="A89" t="str">
            <v>D0294</v>
          </cell>
          <cell r="B89" t="str">
            <v>DP01J</v>
          </cell>
          <cell r="C89" t="str">
            <v>DP0</v>
          </cell>
          <cell r="D89" t="str">
            <v>Spaghetti - bezlepkové cestoviny</v>
          </cell>
          <cell r="E89" t="str">
            <v>500 g</v>
          </cell>
          <cell r="F89">
            <v>555</v>
          </cell>
          <cell r="G89">
            <v>34075.300000000003</v>
          </cell>
          <cell r="H89">
            <v>36581.9</v>
          </cell>
          <cell r="I89" t="str">
            <v>2q2007</v>
          </cell>
        </row>
        <row r="90">
          <cell r="A90" t="str">
            <v>D0295</v>
          </cell>
          <cell r="B90" t="str">
            <v>DP01J</v>
          </cell>
          <cell r="C90" t="str">
            <v>DP0</v>
          </cell>
          <cell r="D90" t="str">
            <v>Fusilli - bezlepkové cestoviny</v>
          </cell>
          <cell r="E90" t="str">
            <v>500 g</v>
          </cell>
          <cell r="F90">
            <v>431</v>
          </cell>
          <cell r="G90">
            <v>26584.6</v>
          </cell>
          <cell r="H90">
            <v>28540.1</v>
          </cell>
          <cell r="I90" t="str">
            <v>2q2007</v>
          </cell>
        </row>
        <row r="91">
          <cell r="A91" t="str">
            <v>D0296</v>
          </cell>
          <cell r="B91" t="str">
            <v>DP01J</v>
          </cell>
          <cell r="C91" t="str">
            <v>DP0</v>
          </cell>
          <cell r="D91" t="str">
            <v>Quadritos - bezlepkové kakaové oblátky</v>
          </cell>
          <cell r="E91" t="str">
            <v>40 g</v>
          </cell>
          <cell r="F91">
            <v>185</v>
          </cell>
          <cell r="G91">
            <v>702.4</v>
          </cell>
          <cell r="H91">
            <v>6472.1</v>
          </cell>
          <cell r="I91" t="str">
            <v>2q2007</v>
          </cell>
        </row>
        <row r="92">
          <cell r="A92" t="str">
            <v>D0297</v>
          </cell>
          <cell r="B92" t="str">
            <v>DP01J</v>
          </cell>
          <cell r="C92" t="str">
            <v>DP0</v>
          </cell>
          <cell r="D92" t="str">
            <v>Salinis - bezlepkové praclíky</v>
          </cell>
          <cell r="E92" t="str">
            <v>60 g</v>
          </cell>
          <cell r="F92">
            <v>430</v>
          </cell>
          <cell r="G92">
            <v>1714.9</v>
          </cell>
          <cell r="H92">
            <v>15723</v>
          </cell>
          <cell r="I92" t="str">
            <v>2q2007</v>
          </cell>
        </row>
        <row r="93">
          <cell r="A93" t="str">
            <v>D0298</v>
          </cell>
          <cell r="B93" t="str">
            <v>DP01J</v>
          </cell>
          <cell r="C93" t="str">
            <v>DP0</v>
          </cell>
          <cell r="D93" t="str">
            <v>Mix B - bezlepková zmes na prípravu chleba</v>
          </cell>
          <cell r="E93" t="str">
            <v>1000 g</v>
          </cell>
          <cell r="F93">
            <v>624</v>
          </cell>
          <cell r="G93">
            <v>44982</v>
          </cell>
          <cell r="H93">
            <v>53031.7</v>
          </cell>
          <cell r="I93" t="str">
            <v>2q2007</v>
          </cell>
        </row>
        <row r="94">
          <cell r="A94" t="str">
            <v>D0299</v>
          </cell>
          <cell r="B94" t="str">
            <v>DP01J</v>
          </cell>
          <cell r="C94" t="str">
            <v>DP0</v>
          </cell>
          <cell r="D94" t="str">
            <v>Bezlepkové sušienky</v>
          </cell>
          <cell r="E94" t="str">
            <v>350 g</v>
          </cell>
          <cell r="F94">
            <v>91</v>
          </cell>
          <cell r="G94">
            <v>404.2</v>
          </cell>
          <cell r="H94">
            <v>3635.6</v>
          </cell>
          <cell r="I94" t="str">
            <v>2q2007</v>
          </cell>
        </row>
        <row r="95">
          <cell r="B95" t="str">
            <v>DP01J Celkom</v>
          </cell>
          <cell r="F95">
            <v>83378.03</v>
          </cell>
          <cell r="G95">
            <v>4929718.8199999994</v>
          </cell>
          <cell r="H95">
            <v>3141083.0900000008</v>
          </cell>
        </row>
        <row r="96">
          <cell r="A96" t="str">
            <v>D0002</v>
          </cell>
          <cell r="B96" t="str">
            <v>DP02A</v>
          </cell>
          <cell r="C96" t="str">
            <v>DP0</v>
          </cell>
          <cell r="D96" t="str">
            <v>ENSURE, čokoládová príchuť</v>
          </cell>
          <cell r="E96" t="str">
            <v>sol 1x250 ml</v>
          </cell>
          <cell r="F96">
            <v>30</v>
          </cell>
          <cell r="G96">
            <v>0</v>
          </cell>
          <cell r="H96">
            <v>1416</v>
          </cell>
          <cell r="I96" t="str">
            <v>2q2007</v>
          </cell>
        </row>
        <row r="97">
          <cell r="A97" t="str">
            <v>D0025</v>
          </cell>
          <cell r="B97" t="str">
            <v>DP02A</v>
          </cell>
          <cell r="C97" t="str">
            <v>DP0</v>
          </cell>
          <cell r="D97" t="str">
            <v>FRESUBIN ORIGINAL, príchuť neutrálna</v>
          </cell>
          <cell r="E97" t="str">
            <v>sol 1x500 ml</v>
          </cell>
          <cell r="F97">
            <v>270</v>
          </cell>
          <cell r="G97">
            <v>23242.9</v>
          </cell>
          <cell r="H97">
            <v>0</v>
          </cell>
          <cell r="I97" t="str">
            <v>2q2007</v>
          </cell>
        </row>
        <row r="98">
          <cell r="A98" t="str">
            <v>D0026</v>
          </cell>
          <cell r="B98" t="str">
            <v>DP02A</v>
          </cell>
          <cell r="C98" t="str">
            <v>DP0</v>
          </cell>
          <cell r="D98" t="str">
            <v>FRESUBIN ORIGINAL, príchuť oriešková</v>
          </cell>
          <cell r="E98" t="str">
            <v>sol 1x500 ml</v>
          </cell>
          <cell r="F98">
            <v>212</v>
          </cell>
          <cell r="G98">
            <v>18758.099999999999</v>
          </cell>
          <cell r="H98">
            <v>0</v>
          </cell>
          <cell r="I98" t="str">
            <v>2q2007</v>
          </cell>
        </row>
        <row r="99">
          <cell r="A99" t="str">
            <v>D0027</v>
          </cell>
          <cell r="B99" t="str">
            <v>DP02A</v>
          </cell>
          <cell r="C99" t="str">
            <v>DP0</v>
          </cell>
          <cell r="D99" t="str">
            <v>FRESUBIN ORIGINAL, príchuť čokoládová</v>
          </cell>
          <cell r="E99" t="str">
            <v>sol 1x500 ml</v>
          </cell>
          <cell r="F99">
            <v>1101</v>
          </cell>
          <cell r="G99">
            <v>95780</v>
          </cell>
          <cell r="H99">
            <v>0</v>
          </cell>
          <cell r="I99" t="str">
            <v>2q2007</v>
          </cell>
        </row>
        <row r="100">
          <cell r="A100" t="str">
            <v>D0028</v>
          </cell>
          <cell r="B100" t="str">
            <v>DP02A</v>
          </cell>
          <cell r="C100" t="str">
            <v>DP0</v>
          </cell>
          <cell r="D100" t="str">
            <v>FRESUBIN ORIGINAL, príchuť vanilková</v>
          </cell>
          <cell r="E100" t="str">
            <v>sol 1x500 ml</v>
          </cell>
          <cell r="F100">
            <v>406</v>
          </cell>
          <cell r="G100">
            <v>35787.699999999997</v>
          </cell>
          <cell r="H100">
            <v>0</v>
          </cell>
          <cell r="I100" t="str">
            <v>2q2007</v>
          </cell>
        </row>
        <row r="101">
          <cell r="A101" t="str">
            <v>D0029</v>
          </cell>
          <cell r="B101" t="str">
            <v>DP02A</v>
          </cell>
          <cell r="C101" t="str">
            <v>DP0</v>
          </cell>
          <cell r="D101" t="str">
            <v>FRESUBIN ORIGINAL, príchuť broskyňová</v>
          </cell>
          <cell r="E101" t="str">
            <v>sol 1x500 ml</v>
          </cell>
          <cell r="F101">
            <v>243</v>
          </cell>
          <cell r="G101">
            <v>19565.599999999999</v>
          </cell>
          <cell r="H101">
            <v>0</v>
          </cell>
          <cell r="I101" t="str">
            <v>2q2007</v>
          </cell>
        </row>
        <row r="102">
          <cell r="A102" t="str">
            <v>D0030</v>
          </cell>
          <cell r="B102" t="str">
            <v>DP02A</v>
          </cell>
          <cell r="C102" t="str">
            <v>DP0</v>
          </cell>
          <cell r="D102" t="str">
            <v>FRESUBIN ORIGINAL DRINK, príchuť oriešková</v>
          </cell>
          <cell r="E102" t="str">
            <v>sol 1x200 ml</v>
          </cell>
          <cell r="F102">
            <v>373</v>
          </cell>
          <cell r="G102">
            <v>13278.8</v>
          </cell>
          <cell r="H102">
            <v>37.299999999999997</v>
          </cell>
          <cell r="I102" t="str">
            <v>2q2007</v>
          </cell>
        </row>
        <row r="103">
          <cell r="A103" t="str">
            <v>D0031</v>
          </cell>
          <cell r="B103" t="str">
            <v>DP02A</v>
          </cell>
          <cell r="C103" t="str">
            <v>DP0</v>
          </cell>
          <cell r="D103" t="str">
            <v>FRESUBIN ORIGINAL DRINK, príchuť čokoládová</v>
          </cell>
          <cell r="E103" t="str">
            <v>sol 1x200 ml</v>
          </cell>
          <cell r="F103">
            <v>1639</v>
          </cell>
          <cell r="G103">
            <v>58318.400000000001</v>
          </cell>
          <cell r="H103">
            <v>163.9</v>
          </cell>
          <cell r="I103" t="str">
            <v>2q2007</v>
          </cell>
        </row>
        <row r="104">
          <cell r="A104" t="str">
            <v>D0032</v>
          </cell>
          <cell r="B104" t="str">
            <v>DP02A</v>
          </cell>
          <cell r="C104" t="str">
            <v>DP0</v>
          </cell>
          <cell r="D104" t="str">
            <v>FRESUBIN ORIGINAL DRINK, príchuť vanilková</v>
          </cell>
          <cell r="E104" t="str">
            <v>sol 1x200 ml</v>
          </cell>
          <cell r="F104">
            <v>738</v>
          </cell>
          <cell r="G104">
            <v>26262.799999999999</v>
          </cell>
          <cell r="H104">
            <v>73.8</v>
          </cell>
          <cell r="I104" t="str">
            <v>2q2007</v>
          </cell>
        </row>
        <row r="105">
          <cell r="A105" t="str">
            <v>D0033</v>
          </cell>
          <cell r="B105" t="str">
            <v>DP02A</v>
          </cell>
          <cell r="C105" t="str">
            <v>DP0</v>
          </cell>
          <cell r="D105" t="str">
            <v>FRESUBIN ORIGINAL DRINK, príchuť broskyňová</v>
          </cell>
          <cell r="E105" t="str">
            <v>sol 1x200 ml</v>
          </cell>
          <cell r="F105">
            <v>1005</v>
          </cell>
          <cell r="G105">
            <v>35772</v>
          </cell>
          <cell r="H105">
            <v>100.5</v>
          </cell>
          <cell r="I105" t="str">
            <v>2q2007</v>
          </cell>
        </row>
        <row r="106">
          <cell r="A106" t="str">
            <v>D0034</v>
          </cell>
          <cell r="B106" t="str">
            <v>DP02A</v>
          </cell>
          <cell r="C106" t="str">
            <v>DP0</v>
          </cell>
          <cell r="D106" t="str">
            <v>FRESUBIN ORIGINAL DRINK, príchuť lesné plody</v>
          </cell>
          <cell r="E106" t="str">
            <v>sol 1x200 ml</v>
          </cell>
          <cell r="F106">
            <v>11</v>
          </cell>
          <cell r="G106">
            <v>391.6</v>
          </cell>
          <cell r="H106">
            <v>1.1000000000000001</v>
          </cell>
          <cell r="I106" t="str">
            <v>2q2007</v>
          </cell>
        </row>
        <row r="107">
          <cell r="A107" t="str">
            <v>D0069</v>
          </cell>
          <cell r="B107" t="str">
            <v>DP02A</v>
          </cell>
          <cell r="C107" t="str">
            <v>DP0</v>
          </cell>
          <cell r="D107" t="str">
            <v>NUTRINI</v>
          </cell>
          <cell r="E107" t="str">
            <v>sol 1x200 ml</v>
          </cell>
          <cell r="F107">
            <v>2020</v>
          </cell>
          <cell r="G107">
            <v>71296.5</v>
          </cell>
          <cell r="H107">
            <v>32848.699999999997</v>
          </cell>
          <cell r="I107" t="str">
            <v>2q2007</v>
          </cell>
        </row>
        <row r="108">
          <cell r="A108" t="str">
            <v>D0071</v>
          </cell>
          <cell r="B108" t="str">
            <v>DP02A</v>
          </cell>
          <cell r="C108" t="str">
            <v>DP0</v>
          </cell>
          <cell r="D108" t="str">
            <v>NUTRISON STANDARD</v>
          </cell>
          <cell r="E108" t="str">
            <v>sol 1x500 ml</v>
          </cell>
          <cell r="F108">
            <v>4638</v>
          </cell>
          <cell r="G108">
            <v>406055.6</v>
          </cell>
          <cell r="H108">
            <v>37028.9</v>
          </cell>
          <cell r="I108" t="str">
            <v>2q2007</v>
          </cell>
        </row>
        <row r="109">
          <cell r="A109" t="str">
            <v>D0072</v>
          </cell>
          <cell r="B109" t="str">
            <v>DP02A</v>
          </cell>
          <cell r="C109" t="str">
            <v>DP0</v>
          </cell>
          <cell r="D109" t="str">
            <v>NUTRISON POWDER</v>
          </cell>
          <cell r="E109" t="str">
            <v>plv 1x430 g</v>
          </cell>
          <cell r="F109">
            <v>2922</v>
          </cell>
          <cell r="G109">
            <v>612681.5</v>
          </cell>
          <cell r="H109">
            <v>30274.1</v>
          </cell>
          <cell r="I109" t="str">
            <v>2q2007</v>
          </cell>
        </row>
        <row r="110">
          <cell r="A110" t="str">
            <v>D0237</v>
          </cell>
          <cell r="B110" t="str">
            <v>DP02A</v>
          </cell>
          <cell r="C110" t="str">
            <v>DP0</v>
          </cell>
          <cell r="D110" t="str">
            <v>Clinutren OPTIMUM CHOCOLATE</v>
          </cell>
          <cell r="E110" t="str">
            <v>plv 1x400 g</v>
          </cell>
          <cell r="F110">
            <v>31</v>
          </cell>
          <cell r="G110">
            <v>4408.1000000000004</v>
          </cell>
          <cell r="H110">
            <v>1219.8</v>
          </cell>
          <cell r="I110" t="str">
            <v>2q2007</v>
          </cell>
        </row>
        <row r="111">
          <cell r="A111" t="str">
            <v>D0238</v>
          </cell>
          <cell r="B111" t="str">
            <v>DP02A</v>
          </cell>
          <cell r="C111" t="str">
            <v>DP0</v>
          </cell>
          <cell r="D111" t="str">
            <v>Clinutren OPTIMUM VANILLA</v>
          </cell>
          <cell r="E111" t="str">
            <v>plv 1x400 g</v>
          </cell>
          <cell r="F111">
            <v>93</v>
          </cell>
          <cell r="G111">
            <v>18209.3</v>
          </cell>
          <cell r="H111">
            <v>5040.6000000000004</v>
          </cell>
          <cell r="I111" t="str">
            <v>2q2007</v>
          </cell>
        </row>
        <row r="112">
          <cell r="A112" t="str">
            <v>D0241</v>
          </cell>
          <cell r="B112" t="str">
            <v>DP02A</v>
          </cell>
          <cell r="C112" t="str">
            <v>DP0</v>
          </cell>
          <cell r="D112" t="str">
            <v>Clinutren JUNIOR VANILLA</v>
          </cell>
          <cell r="E112" t="str">
            <v>plv 1x400 g</v>
          </cell>
          <cell r="F112">
            <v>78</v>
          </cell>
          <cell r="G112">
            <v>15152.4</v>
          </cell>
          <cell r="H112">
            <v>20290.2</v>
          </cell>
          <cell r="I112" t="str">
            <v>2q2007</v>
          </cell>
        </row>
        <row r="113">
          <cell r="B113" t="str">
            <v>DP02A Celkom</v>
          </cell>
          <cell r="F113">
            <v>15810</v>
          </cell>
          <cell r="G113">
            <v>1454961.3</v>
          </cell>
          <cell r="H113">
            <v>128494.9</v>
          </cell>
        </row>
        <row r="114">
          <cell r="A114" t="str">
            <v>D0035</v>
          </cell>
          <cell r="B114" t="str">
            <v>DP02B</v>
          </cell>
          <cell r="C114" t="str">
            <v>DP0</v>
          </cell>
          <cell r="D114" t="str">
            <v>FRESUBIN ORIGINAL FIBRE, príchuť neutrálna</v>
          </cell>
          <cell r="E114" t="str">
            <v>sol 1x500 ml</v>
          </cell>
          <cell r="F114">
            <v>20</v>
          </cell>
          <cell r="G114">
            <v>1744</v>
          </cell>
          <cell r="H114">
            <v>580</v>
          </cell>
          <cell r="I114" t="str">
            <v>2q2007</v>
          </cell>
        </row>
        <row r="115">
          <cell r="A115" t="str">
            <v>D0201</v>
          </cell>
          <cell r="B115" t="str">
            <v>DP02B</v>
          </cell>
          <cell r="C115" t="str">
            <v>DP0</v>
          </cell>
          <cell r="D115" t="str">
            <v>NUTRISON MULTIFIBRE</v>
          </cell>
          <cell r="E115" t="str">
            <v>sol 1x1000 ml</v>
          </cell>
          <cell r="F115">
            <v>341</v>
          </cell>
          <cell r="G115">
            <v>59987.7</v>
          </cell>
          <cell r="H115">
            <v>39420.1</v>
          </cell>
          <cell r="I115" t="str">
            <v>2q2007</v>
          </cell>
        </row>
        <row r="116">
          <cell r="A116" t="str">
            <v>D0239</v>
          </cell>
          <cell r="B116" t="str">
            <v>DP02B</v>
          </cell>
          <cell r="C116" t="str">
            <v>DP0</v>
          </cell>
          <cell r="D116" t="str">
            <v>Clinutren FIBRE VANILLA</v>
          </cell>
          <cell r="E116" t="str">
            <v>plv 1x400 g</v>
          </cell>
          <cell r="F116">
            <v>16</v>
          </cell>
          <cell r="G116">
            <v>4957.1000000000004</v>
          </cell>
          <cell r="H116">
            <v>1153.4000000000001</v>
          </cell>
          <cell r="I116" t="str">
            <v>2q2007</v>
          </cell>
        </row>
        <row r="117">
          <cell r="B117" t="str">
            <v>DP02B Celkom</v>
          </cell>
          <cell r="F117">
            <v>377</v>
          </cell>
          <cell r="G117">
            <v>66688.800000000003</v>
          </cell>
          <cell r="H117">
            <v>41153.5</v>
          </cell>
        </row>
        <row r="118">
          <cell r="A118" t="str">
            <v>D0012</v>
          </cell>
          <cell r="B118" t="str">
            <v>DP02C</v>
          </cell>
          <cell r="C118" t="str">
            <v>DP0</v>
          </cell>
          <cell r="D118" t="str">
            <v>ENSURE PLUS, vanilková príchuť</v>
          </cell>
          <cell r="E118" t="str">
            <v>sol 1x200 ml</v>
          </cell>
          <cell r="F118">
            <v>36989</v>
          </cell>
          <cell r="G118">
            <v>1748731.6</v>
          </cell>
          <cell r="H118">
            <v>0</v>
          </cell>
          <cell r="I118" t="str">
            <v>2q2007</v>
          </cell>
        </row>
        <row r="119">
          <cell r="A119" t="str">
            <v>D0013</v>
          </cell>
          <cell r="B119" t="str">
            <v>DP02C</v>
          </cell>
          <cell r="C119" t="str">
            <v>DP0</v>
          </cell>
          <cell r="D119" t="str">
            <v>ENSURE PLUS, čokoládová príchuť</v>
          </cell>
          <cell r="E119" t="str">
            <v>sol 1x200 ml</v>
          </cell>
          <cell r="F119">
            <v>116396</v>
          </cell>
          <cell r="G119">
            <v>5492528.5</v>
          </cell>
          <cell r="H119">
            <v>0</v>
          </cell>
          <cell r="I119" t="str">
            <v>2q2007</v>
          </cell>
        </row>
        <row r="120">
          <cell r="A120" t="str">
            <v>D0014</v>
          </cell>
          <cell r="B120" t="str">
            <v>DP02C</v>
          </cell>
          <cell r="C120" t="str">
            <v>DP0</v>
          </cell>
          <cell r="D120" t="str">
            <v>ENSURE PLUS, bez príchute</v>
          </cell>
          <cell r="E120" t="str">
            <v>sol 1x200 ml</v>
          </cell>
          <cell r="F120">
            <v>27360</v>
          </cell>
          <cell r="G120">
            <v>1292723.1000000001</v>
          </cell>
          <cell r="H120">
            <v>0</v>
          </cell>
          <cell r="I120" t="str">
            <v>2q2007</v>
          </cell>
        </row>
        <row r="121">
          <cell r="A121" t="str">
            <v>D0015</v>
          </cell>
          <cell r="B121" t="str">
            <v>DP02C</v>
          </cell>
          <cell r="C121" t="str">
            <v>DP0</v>
          </cell>
          <cell r="D121" t="str">
            <v>ENSURE PLUS, karamelová príchuť</v>
          </cell>
          <cell r="E121" t="str">
            <v>sol 1x200 ml</v>
          </cell>
          <cell r="F121">
            <v>37461</v>
          </cell>
          <cell r="G121">
            <v>1766744.4</v>
          </cell>
          <cell r="H121">
            <v>0</v>
          </cell>
          <cell r="I121" t="str">
            <v>2q2007</v>
          </cell>
        </row>
        <row r="122">
          <cell r="A122" t="str">
            <v>D0016</v>
          </cell>
          <cell r="B122" t="str">
            <v>DP02C</v>
          </cell>
          <cell r="C122" t="str">
            <v>DP0</v>
          </cell>
          <cell r="D122" t="str">
            <v>ENSURE PLUS, príchuť lesného ovocia</v>
          </cell>
          <cell r="E122" t="str">
            <v>sol 1x200 ml</v>
          </cell>
          <cell r="F122">
            <v>48769</v>
          </cell>
          <cell r="G122">
            <v>2303314.59</v>
          </cell>
          <cell r="H122">
            <v>0</v>
          </cell>
          <cell r="I122" t="str">
            <v>2q2007</v>
          </cell>
        </row>
        <row r="123">
          <cell r="A123" t="str">
            <v>D0018</v>
          </cell>
          <cell r="B123" t="str">
            <v>DP02C</v>
          </cell>
          <cell r="C123" t="str">
            <v>DP0</v>
          </cell>
          <cell r="D123" t="str">
            <v>FRESUBIN ENERGY, príchuť neutrálna</v>
          </cell>
          <cell r="E123" t="str">
            <v>sol 1x500 ml</v>
          </cell>
          <cell r="F123">
            <v>54</v>
          </cell>
          <cell r="G123">
            <v>2554.1999999999998</v>
          </cell>
          <cell r="H123">
            <v>0</v>
          </cell>
          <cell r="I123" t="str">
            <v>2q2007</v>
          </cell>
        </row>
        <row r="124">
          <cell r="A124" t="str">
            <v>D0019</v>
          </cell>
          <cell r="B124" t="str">
            <v>DP02C</v>
          </cell>
          <cell r="C124" t="str">
            <v>DP0</v>
          </cell>
          <cell r="D124" t="str">
            <v>FRESUBIN ENERGY DRINK, príchuť vanilková</v>
          </cell>
          <cell r="E124" t="str">
            <v>sol 1x200 ml</v>
          </cell>
          <cell r="F124">
            <v>10</v>
          </cell>
          <cell r="G124">
            <v>475</v>
          </cell>
          <cell r="H124">
            <v>143</v>
          </cell>
          <cell r="I124" t="str">
            <v>2q2007</v>
          </cell>
        </row>
        <row r="125">
          <cell r="A125" t="str">
            <v>D0077</v>
          </cell>
          <cell r="B125" t="str">
            <v>DP02C</v>
          </cell>
          <cell r="C125" t="str">
            <v>DP0</v>
          </cell>
          <cell r="D125" t="str">
            <v>NUTRIDRINK, čokoládová príchuť</v>
          </cell>
          <cell r="E125" t="str">
            <v>sol 1x200 ml</v>
          </cell>
          <cell r="F125">
            <v>218143</v>
          </cell>
          <cell r="G125">
            <v>10324522.6</v>
          </cell>
          <cell r="H125">
            <v>21756.1</v>
          </cell>
          <cell r="I125" t="str">
            <v>2q2007</v>
          </cell>
        </row>
        <row r="126">
          <cell r="A126" t="str">
            <v>D0078</v>
          </cell>
          <cell r="B126" t="str">
            <v>DP02C</v>
          </cell>
          <cell r="C126" t="str">
            <v>DP0</v>
          </cell>
          <cell r="D126" t="str">
            <v>NUTRIDRINK, neutrálna chuť</v>
          </cell>
          <cell r="E126" t="str">
            <v>sol 1x200 ml</v>
          </cell>
          <cell r="F126">
            <v>32258</v>
          </cell>
          <cell r="G126">
            <v>1527812.2</v>
          </cell>
          <cell r="H126">
            <v>3222.8</v>
          </cell>
          <cell r="I126" t="str">
            <v>2q2007</v>
          </cell>
        </row>
        <row r="127">
          <cell r="A127" t="str">
            <v>D0079</v>
          </cell>
          <cell r="B127" t="str">
            <v>DP02C</v>
          </cell>
          <cell r="C127" t="str">
            <v>DP0</v>
          </cell>
          <cell r="D127" t="str">
            <v>NUTRIDRINK, karamelová príchuť</v>
          </cell>
          <cell r="E127" t="str">
            <v>sol 1x200 ml</v>
          </cell>
          <cell r="F127">
            <v>41005</v>
          </cell>
          <cell r="G127">
            <v>1935656.34</v>
          </cell>
          <cell r="H127">
            <v>4097.5</v>
          </cell>
          <cell r="I127" t="str">
            <v>2q2007</v>
          </cell>
        </row>
        <row r="128">
          <cell r="A128" t="str">
            <v>D0080</v>
          </cell>
          <cell r="B128" t="str">
            <v>DP02C</v>
          </cell>
          <cell r="C128" t="str">
            <v>DP0</v>
          </cell>
          <cell r="D128" t="str">
            <v>NUTRIDRINK, príchuť tropického ovocia</v>
          </cell>
          <cell r="E128" t="str">
            <v>sol 1x200 ml</v>
          </cell>
          <cell r="F128">
            <v>43458</v>
          </cell>
          <cell r="G128">
            <v>2053602.3</v>
          </cell>
          <cell r="H128">
            <v>4332.8999999999996</v>
          </cell>
          <cell r="I128" t="str">
            <v>2q2007</v>
          </cell>
        </row>
        <row r="129">
          <cell r="A129" t="str">
            <v>D0126</v>
          </cell>
          <cell r="B129" t="str">
            <v>DP02C</v>
          </cell>
          <cell r="C129" t="str">
            <v>DP0</v>
          </cell>
          <cell r="D129" t="str">
            <v>NUTRIDRINK YOGHURT, s príchuťou vanilka a citrón</v>
          </cell>
          <cell r="E129" t="str">
            <v>sol 1x200 ml</v>
          </cell>
          <cell r="F129">
            <v>3473</v>
          </cell>
          <cell r="G129">
            <v>164030.70000000001</v>
          </cell>
          <cell r="H129">
            <v>31169.3</v>
          </cell>
          <cell r="I129" t="str">
            <v>2q2007</v>
          </cell>
        </row>
        <row r="130">
          <cell r="A130" t="str">
            <v>D0127</v>
          </cell>
          <cell r="B130" t="str">
            <v>DP02C</v>
          </cell>
          <cell r="C130" t="str">
            <v>DP0</v>
          </cell>
          <cell r="D130" t="str">
            <v>NUTRIDRINK YOGHURT, s malinovou príchuťou</v>
          </cell>
          <cell r="E130" t="str">
            <v>sol 1x200 ml</v>
          </cell>
          <cell r="F130">
            <v>7470</v>
          </cell>
          <cell r="G130">
            <v>352410</v>
          </cell>
          <cell r="H130">
            <v>66965.2</v>
          </cell>
          <cell r="I130" t="str">
            <v>2q2007</v>
          </cell>
        </row>
        <row r="131">
          <cell r="A131" t="str">
            <v>D0218</v>
          </cell>
          <cell r="B131" t="str">
            <v>DP02C</v>
          </cell>
          <cell r="C131" t="str">
            <v>DP0</v>
          </cell>
          <cell r="D131" t="str">
            <v>ENSURE PLUS, príchuť čiernych ríbezlí</v>
          </cell>
          <cell r="E131" t="str">
            <v>sol 1x200 ml</v>
          </cell>
          <cell r="F131">
            <v>31450</v>
          </cell>
          <cell r="G131">
            <v>1486128.6</v>
          </cell>
          <cell r="H131">
            <v>0</v>
          </cell>
          <cell r="I131" t="str">
            <v>2q2007</v>
          </cell>
        </row>
        <row r="132">
          <cell r="A132" t="str">
            <v>D0219</v>
          </cell>
          <cell r="B132" t="str">
            <v>DP02C</v>
          </cell>
          <cell r="C132" t="str">
            <v>DP0</v>
          </cell>
          <cell r="D132" t="str">
            <v>ENSURE PLUS, jahodová príchuť</v>
          </cell>
          <cell r="E132" t="str">
            <v>sol 1x200 ml</v>
          </cell>
          <cell r="F132">
            <v>42582</v>
          </cell>
          <cell r="G132">
            <v>2012057.5</v>
          </cell>
          <cell r="H132">
            <v>0</v>
          </cell>
          <cell r="I132" t="str">
            <v>2q2007</v>
          </cell>
        </row>
        <row r="133">
          <cell r="A133" t="str">
            <v>D0220</v>
          </cell>
          <cell r="B133" t="str">
            <v>DP02C</v>
          </cell>
          <cell r="C133" t="str">
            <v>DP0</v>
          </cell>
          <cell r="D133" t="str">
            <v>ENSURE PLUS  jogurt, broskyňová príchuť</v>
          </cell>
          <cell r="E133" t="str">
            <v>sol 1x220 ml</v>
          </cell>
          <cell r="F133">
            <v>15212</v>
          </cell>
          <cell r="G133">
            <v>786823.9</v>
          </cell>
          <cell r="H133">
            <v>0</v>
          </cell>
          <cell r="I133" t="str">
            <v>2q2007</v>
          </cell>
        </row>
        <row r="134">
          <cell r="A134" t="str">
            <v>D0221</v>
          </cell>
          <cell r="B134" t="str">
            <v>DP02C</v>
          </cell>
          <cell r="C134" t="str">
            <v>DP0</v>
          </cell>
          <cell r="D134" t="str">
            <v>ENSURE PLUS jogurt, pomarančová príchuť</v>
          </cell>
          <cell r="E134" t="str">
            <v>sol 1x220 ml</v>
          </cell>
          <cell r="F134">
            <v>11216</v>
          </cell>
          <cell r="G134">
            <v>584091.5</v>
          </cell>
          <cell r="H134">
            <v>0</v>
          </cell>
          <cell r="I134" t="str">
            <v>2q2007</v>
          </cell>
        </row>
        <row r="135">
          <cell r="A135" t="str">
            <v>D0222</v>
          </cell>
          <cell r="B135" t="str">
            <v>DP02C</v>
          </cell>
          <cell r="C135" t="str">
            <v>DP0</v>
          </cell>
          <cell r="D135" t="str">
            <v>NUTRISON ENERGY</v>
          </cell>
          <cell r="E135" t="str">
            <v>sol 1x1000 ml</v>
          </cell>
          <cell r="F135">
            <v>1</v>
          </cell>
          <cell r="G135">
            <v>237</v>
          </cell>
          <cell r="H135">
            <v>50</v>
          </cell>
          <cell r="I135" t="str">
            <v>2q2007</v>
          </cell>
        </row>
        <row r="136">
          <cell r="B136" t="str">
            <v>DP02C Celkom</v>
          </cell>
          <cell r="F136">
            <v>713307</v>
          </cell>
          <cell r="G136">
            <v>33834444.030000001</v>
          </cell>
          <cell r="H136">
            <v>131736.79999999999</v>
          </cell>
        </row>
        <row r="137">
          <cell r="A137" t="str">
            <v>D0021</v>
          </cell>
          <cell r="B137" t="str">
            <v>DP02D</v>
          </cell>
          <cell r="C137" t="str">
            <v>DP0</v>
          </cell>
          <cell r="D137" t="str">
            <v>FRESUBIN ENERGY FIBRE DRINK, príchuť čokoládová</v>
          </cell>
          <cell r="E137" t="str">
            <v>sol 1x200 ml</v>
          </cell>
          <cell r="F137">
            <v>2857</v>
          </cell>
          <cell r="G137">
            <v>134957.6</v>
          </cell>
          <cell r="H137">
            <v>0</v>
          </cell>
          <cell r="I137" t="str">
            <v>2q2007</v>
          </cell>
        </row>
        <row r="138">
          <cell r="A138" t="str">
            <v>D0022</v>
          </cell>
          <cell r="B138" t="str">
            <v>DP02D</v>
          </cell>
          <cell r="C138" t="str">
            <v>DP0</v>
          </cell>
          <cell r="D138" t="str">
            <v>FRESUBIN ENERGY FIBRE DRINK, príchuť kapučíno</v>
          </cell>
          <cell r="E138" t="str">
            <v>sol 1x200 ml</v>
          </cell>
          <cell r="F138">
            <v>868</v>
          </cell>
          <cell r="G138">
            <v>41227.4</v>
          </cell>
          <cell r="H138">
            <v>0</v>
          </cell>
          <cell r="I138" t="str">
            <v>2q2007</v>
          </cell>
        </row>
        <row r="139">
          <cell r="A139" t="str">
            <v>D0023</v>
          </cell>
          <cell r="B139" t="str">
            <v>DP02D</v>
          </cell>
          <cell r="C139" t="str">
            <v>DP0</v>
          </cell>
          <cell r="D139" t="str">
            <v>FRESUBIN ENERGY FIBRE DRINK, príchuť citrónová</v>
          </cell>
          <cell r="E139" t="str">
            <v>sol 1x200 ml</v>
          </cell>
          <cell r="F139">
            <v>1232</v>
          </cell>
          <cell r="G139">
            <v>55586.5</v>
          </cell>
          <cell r="H139">
            <v>0</v>
          </cell>
          <cell r="I139" t="str">
            <v>2q2007</v>
          </cell>
        </row>
        <row r="140">
          <cell r="A140" t="str">
            <v>D0024</v>
          </cell>
          <cell r="B140" t="str">
            <v>DP02D</v>
          </cell>
          <cell r="C140" t="str">
            <v>DP0</v>
          </cell>
          <cell r="D140" t="str">
            <v>FRESUBIN ENERGY FIBRE DRINK, príchuť jahodová</v>
          </cell>
          <cell r="E140" t="str">
            <v>sol 1x200 ml</v>
          </cell>
          <cell r="F140">
            <v>902</v>
          </cell>
          <cell r="G140">
            <v>42843.5</v>
          </cell>
          <cell r="H140">
            <v>0</v>
          </cell>
          <cell r="I140" t="str">
            <v>2q2007</v>
          </cell>
        </row>
        <row r="141">
          <cell r="A141" t="str">
            <v>D0073</v>
          </cell>
          <cell r="B141" t="str">
            <v>DP02D</v>
          </cell>
          <cell r="C141" t="str">
            <v>DP0</v>
          </cell>
          <cell r="D141" t="str">
            <v>NUTRIDRINK MULTIFIBRE, príchuť pomarančová</v>
          </cell>
          <cell r="E141" t="str">
            <v>sol 1x200 ml</v>
          </cell>
          <cell r="F141">
            <v>50681</v>
          </cell>
          <cell r="G141">
            <v>2397907.9</v>
          </cell>
          <cell r="H141">
            <v>5058.1000000000004</v>
          </cell>
          <cell r="I141" t="str">
            <v>2q2007</v>
          </cell>
        </row>
        <row r="142">
          <cell r="A142" t="str">
            <v>D0074</v>
          </cell>
          <cell r="B142" t="str">
            <v>DP02D</v>
          </cell>
          <cell r="C142" t="str">
            <v>DP0</v>
          </cell>
          <cell r="D142" t="str">
            <v>NUTRIDRINK MULTIFIBRE, príchuť vanilková</v>
          </cell>
          <cell r="E142" t="str">
            <v>sol 1x200 ml</v>
          </cell>
          <cell r="F142">
            <v>61980</v>
          </cell>
          <cell r="G142">
            <v>2933365</v>
          </cell>
          <cell r="H142">
            <v>6197.9</v>
          </cell>
          <cell r="I142" t="str">
            <v>2q2007</v>
          </cell>
        </row>
        <row r="143">
          <cell r="A143" t="str">
            <v>D0075</v>
          </cell>
          <cell r="B143" t="str">
            <v>DP02D</v>
          </cell>
          <cell r="C143" t="str">
            <v>DP0</v>
          </cell>
          <cell r="D143" t="str">
            <v>NUTRIDRINK MULTIFIBRE, príchuť jahodová</v>
          </cell>
          <cell r="E143" t="str">
            <v>sol 1x200 ml</v>
          </cell>
          <cell r="F143">
            <v>88618</v>
          </cell>
          <cell r="G143">
            <v>4194183.6</v>
          </cell>
          <cell r="H143">
            <v>8840.1</v>
          </cell>
          <cell r="I143" t="str">
            <v>2q2007</v>
          </cell>
        </row>
        <row r="144">
          <cell r="A144" t="str">
            <v>D0202</v>
          </cell>
          <cell r="B144" t="str">
            <v>DP02D</v>
          </cell>
          <cell r="C144" t="str">
            <v>DP0</v>
          </cell>
          <cell r="D144" t="str">
            <v>NUTRISON PROTEIN Plus Multifibre</v>
          </cell>
          <cell r="E144" t="str">
            <v>sol 1x500 ml</v>
          </cell>
          <cell r="F144">
            <v>40</v>
          </cell>
          <cell r="G144">
            <v>3509.3</v>
          </cell>
          <cell r="H144">
            <v>9463.5</v>
          </cell>
          <cell r="I144" t="str">
            <v>2q2007</v>
          </cell>
        </row>
        <row r="145">
          <cell r="A145" t="str">
            <v>D0255</v>
          </cell>
          <cell r="B145" t="str">
            <v>DP02D</v>
          </cell>
          <cell r="C145" t="str">
            <v>DP0</v>
          </cell>
          <cell r="D145" t="str">
            <v>ENRICH PLUS, príchuť malín</v>
          </cell>
          <cell r="E145" t="str">
            <v>sol 1x200 ml</v>
          </cell>
          <cell r="F145">
            <v>12644</v>
          </cell>
          <cell r="G145">
            <v>597022.6</v>
          </cell>
          <cell r="H145">
            <v>0</v>
          </cell>
          <cell r="I145" t="str">
            <v>2q2007</v>
          </cell>
        </row>
        <row r="146">
          <cell r="B146" t="str">
            <v>DP02D Celkom</v>
          </cell>
          <cell r="F146">
            <v>219822</v>
          </cell>
          <cell r="G146">
            <v>10400603.4</v>
          </cell>
          <cell r="H146">
            <v>29559.599999999999</v>
          </cell>
        </row>
        <row r="147">
          <cell r="A147" t="str">
            <v>D0070</v>
          </cell>
          <cell r="B147" t="str">
            <v>DP02E</v>
          </cell>
          <cell r="C147" t="str">
            <v>DP0</v>
          </cell>
          <cell r="D147" t="str">
            <v>PEPTISORB POWDER</v>
          </cell>
          <cell r="E147" t="str">
            <v>plv 1x500 g</v>
          </cell>
          <cell r="F147">
            <v>694</v>
          </cell>
          <cell r="G147">
            <v>565258</v>
          </cell>
          <cell r="H147">
            <v>0</v>
          </cell>
          <cell r="I147" t="str">
            <v>2q2007</v>
          </cell>
        </row>
        <row r="148">
          <cell r="A148" t="str">
            <v>D0076</v>
          </cell>
          <cell r="B148" t="str">
            <v>DP02E</v>
          </cell>
          <cell r="C148" t="str">
            <v>DP0</v>
          </cell>
          <cell r="D148" t="str">
            <v>PEPTISORB</v>
          </cell>
          <cell r="E148" t="str">
            <v>sol 1x500 ml</v>
          </cell>
          <cell r="F148">
            <v>362</v>
          </cell>
          <cell r="G148">
            <v>75730.399999999994</v>
          </cell>
          <cell r="H148">
            <v>5667.2</v>
          </cell>
          <cell r="I148" t="str">
            <v>2q2007</v>
          </cell>
        </row>
        <row r="149">
          <cell r="A149" t="str">
            <v>D0242</v>
          </cell>
          <cell r="B149" t="str">
            <v>DP02E</v>
          </cell>
          <cell r="C149" t="str">
            <v>DP0</v>
          </cell>
          <cell r="D149" t="str">
            <v>PEPTAMEN VANILLA</v>
          </cell>
          <cell r="E149" t="str">
            <v>plv 1x430 g</v>
          </cell>
          <cell r="F149">
            <v>223</v>
          </cell>
          <cell r="G149">
            <v>181563.8</v>
          </cell>
          <cell r="H149">
            <v>0</v>
          </cell>
          <cell r="I149" t="str">
            <v>2q2007</v>
          </cell>
        </row>
        <row r="150">
          <cell r="A150" t="str">
            <v>D0243</v>
          </cell>
          <cell r="B150" t="str">
            <v>DP02E</v>
          </cell>
          <cell r="C150" t="str">
            <v>DP0</v>
          </cell>
          <cell r="D150" t="str">
            <v>PEPTAMEN JUNIOR VANILLA</v>
          </cell>
          <cell r="E150" t="str">
            <v>plv 1x400 g</v>
          </cell>
          <cell r="F150">
            <v>27</v>
          </cell>
          <cell r="G150">
            <v>16187.8</v>
          </cell>
          <cell r="H150">
            <v>1314.6</v>
          </cell>
          <cell r="I150" t="str">
            <v>2q2007</v>
          </cell>
        </row>
        <row r="151">
          <cell r="B151" t="str">
            <v>DP02E Celkom</v>
          </cell>
          <cell r="F151">
            <v>1306</v>
          </cell>
          <cell r="G151">
            <v>838740</v>
          </cell>
          <cell r="H151">
            <v>6981.7999999999993</v>
          </cell>
        </row>
        <row r="152">
          <cell r="A152" t="str">
            <v>D0041</v>
          </cell>
          <cell r="B152" t="str">
            <v>DP02F</v>
          </cell>
          <cell r="C152" t="str">
            <v>DP0</v>
          </cell>
          <cell r="D152" t="str">
            <v>DIBEN, príchuť neutrálna</v>
          </cell>
          <cell r="E152" t="str">
            <v>sol 1x500 ml</v>
          </cell>
          <cell r="F152">
            <v>256</v>
          </cell>
          <cell r="G152">
            <v>36315.599999999999</v>
          </cell>
          <cell r="H152">
            <v>0</v>
          </cell>
          <cell r="I152" t="str">
            <v>2q2007</v>
          </cell>
        </row>
        <row r="153">
          <cell r="A153" t="str">
            <v>D0051</v>
          </cell>
          <cell r="B153" t="str">
            <v>DP02F</v>
          </cell>
          <cell r="C153" t="str">
            <v>DP0</v>
          </cell>
          <cell r="D153" t="str">
            <v>DIBEN DRINK, príchuť karamelová</v>
          </cell>
          <cell r="E153" t="str">
            <v>sol 1x200 ml</v>
          </cell>
          <cell r="F153">
            <v>144</v>
          </cell>
          <cell r="G153">
            <v>8164</v>
          </cell>
          <cell r="H153">
            <v>0</v>
          </cell>
          <cell r="I153" t="str">
            <v>2q2007</v>
          </cell>
        </row>
        <row r="154">
          <cell r="A154" t="str">
            <v>D0052</v>
          </cell>
          <cell r="B154" t="str">
            <v>DP02F</v>
          </cell>
          <cell r="C154" t="str">
            <v>DP0</v>
          </cell>
          <cell r="D154" t="str">
            <v>DIBEN DRINK, príchuť kapučíno</v>
          </cell>
          <cell r="E154" t="str">
            <v>sol 1x200 ml</v>
          </cell>
          <cell r="F154">
            <v>1116</v>
          </cell>
          <cell r="G154">
            <v>62140.2</v>
          </cell>
          <cell r="H154">
            <v>0</v>
          </cell>
          <cell r="I154" t="str">
            <v>2q2007</v>
          </cell>
        </row>
        <row r="155">
          <cell r="A155" t="str">
            <v>D0053</v>
          </cell>
          <cell r="B155" t="str">
            <v>DP02F</v>
          </cell>
          <cell r="C155" t="str">
            <v>DP0</v>
          </cell>
          <cell r="D155" t="str">
            <v>DIBEN DRINK, príchuť lesné plody</v>
          </cell>
          <cell r="E155" t="str">
            <v>sol 1x200 ml</v>
          </cell>
          <cell r="F155">
            <v>597</v>
          </cell>
          <cell r="G155">
            <v>33804.9</v>
          </cell>
          <cell r="H155">
            <v>0</v>
          </cell>
          <cell r="I155" t="str">
            <v>2q2007</v>
          </cell>
        </row>
        <row r="156">
          <cell r="A156" t="str">
            <v>D0240</v>
          </cell>
          <cell r="B156" t="str">
            <v>DP02F</v>
          </cell>
          <cell r="C156" t="str">
            <v>DP0</v>
          </cell>
          <cell r="D156" t="str">
            <v>Clinutren DIABETES VANILLA</v>
          </cell>
          <cell r="E156" t="str">
            <v>plv 1x400 g</v>
          </cell>
          <cell r="F156">
            <v>55</v>
          </cell>
          <cell r="G156">
            <v>28354.6</v>
          </cell>
          <cell r="H156">
            <v>670.9</v>
          </cell>
          <cell r="I156" t="str">
            <v>2q2007</v>
          </cell>
        </row>
        <row r="157">
          <cell r="B157" t="str">
            <v>DP02F Celkom</v>
          </cell>
          <cell r="F157">
            <v>2168</v>
          </cell>
          <cell r="G157">
            <v>168779.3</v>
          </cell>
          <cell r="H157">
            <v>670.9</v>
          </cell>
        </row>
        <row r="158">
          <cell r="A158" t="str">
            <v>D0155</v>
          </cell>
          <cell r="B158" t="str">
            <v>DP02G</v>
          </cell>
          <cell r="C158" t="str">
            <v>DP0</v>
          </cell>
          <cell r="D158" t="str">
            <v>NEPRO, vanilková príchuť</v>
          </cell>
          <cell r="E158" t="str">
            <v>sol 1x237 ml</v>
          </cell>
          <cell r="F158">
            <v>4540</v>
          </cell>
          <cell r="G158">
            <v>501226</v>
          </cell>
          <cell r="H158">
            <v>0</v>
          </cell>
          <cell r="I158" t="str">
            <v>2q2007</v>
          </cell>
        </row>
        <row r="159">
          <cell r="A159" t="str">
            <v>D0156</v>
          </cell>
          <cell r="B159" t="str">
            <v>DP02G</v>
          </cell>
          <cell r="C159" t="str">
            <v>DP0</v>
          </cell>
          <cell r="D159" t="str">
            <v>NEPRO, vanilková príchuť</v>
          </cell>
          <cell r="E159" t="str">
            <v>sol 1x500 ml</v>
          </cell>
          <cell r="F159">
            <v>350</v>
          </cell>
          <cell r="G159">
            <v>22435</v>
          </cell>
          <cell r="H159">
            <v>16625</v>
          </cell>
          <cell r="I159" t="str">
            <v>2q2007</v>
          </cell>
        </row>
        <row r="160">
          <cell r="B160" t="str">
            <v>DP02G Celkom</v>
          </cell>
          <cell r="F160">
            <v>4890</v>
          </cell>
          <cell r="G160">
            <v>523661</v>
          </cell>
          <cell r="H160">
            <v>16625</v>
          </cell>
        </row>
        <row r="161">
          <cell r="A161" t="str">
            <v>D0054</v>
          </cell>
          <cell r="B161" t="str">
            <v>DP02H</v>
          </cell>
          <cell r="C161" t="str">
            <v>DP0</v>
          </cell>
          <cell r="D161" t="str">
            <v>FRESUBIN HEPA,  príchuť mandarínková</v>
          </cell>
          <cell r="E161" t="str">
            <v>sol 1x500 ml</v>
          </cell>
          <cell r="F161">
            <v>172</v>
          </cell>
          <cell r="G161">
            <v>27021.200000000001</v>
          </cell>
          <cell r="H161">
            <v>0</v>
          </cell>
          <cell r="I161" t="str">
            <v>2q2007</v>
          </cell>
        </row>
        <row r="162">
          <cell r="A162" t="str">
            <v>D0055</v>
          </cell>
          <cell r="B162" t="str">
            <v>DP02H</v>
          </cell>
          <cell r="C162" t="str">
            <v>DP0</v>
          </cell>
          <cell r="D162" t="str">
            <v>FRESUBIN HEPA,  príchuť kapučíno</v>
          </cell>
          <cell r="E162" t="str">
            <v>sol 1x500 ml</v>
          </cell>
          <cell r="F162">
            <v>1346</v>
          </cell>
          <cell r="G162">
            <v>211104.1</v>
          </cell>
          <cell r="H162">
            <v>0</v>
          </cell>
          <cell r="I162" t="str">
            <v>2q2007</v>
          </cell>
        </row>
        <row r="163">
          <cell r="B163" t="str">
            <v>DP02H Celkom</v>
          </cell>
          <cell r="F163">
            <v>1518</v>
          </cell>
          <cell r="G163">
            <v>238125.30000000002</v>
          </cell>
          <cell r="H163">
            <v>0</v>
          </cell>
        </row>
        <row r="164">
          <cell r="A164" t="str">
            <v>D0010</v>
          </cell>
          <cell r="B164" t="str">
            <v>DP02I</v>
          </cell>
          <cell r="C164" t="str">
            <v>DP0</v>
          </cell>
          <cell r="D164" t="str">
            <v>PULMOCARE, vanilková príchuť</v>
          </cell>
          <cell r="E164" t="str">
            <v>sol 1x250 ml</v>
          </cell>
          <cell r="F164">
            <v>42</v>
          </cell>
          <cell r="G164">
            <v>3061.2</v>
          </cell>
          <cell r="H164">
            <v>164.4</v>
          </cell>
          <cell r="I164" t="str">
            <v>2q2007</v>
          </cell>
        </row>
        <row r="165">
          <cell r="A165" t="str">
            <v>D0157</v>
          </cell>
          <cell r="B165" t="str">
            <v>DP02I</v>
          </cell>
          <cell r="C165" t="str">
            <v>DP0</v>
          </cell>
          <cell r="D165" t="str">
            <v>PULMOCARE, vanilková príchuť</v>
          </cell>
          <cell r="E165" t="str">
            <v>sol 1x500 ml</v>
          </cell>
          <cell r="F165">
            <v>399</v>
          </cell>
          <cell r="G165">
            <v>62682.8</v>
          </cell>
          <cell r="H165">
            <v>0</v>
          </cell>
          <cell r="I165" t="str">
            <v>2q2007</v>
          </cell>
        </row>
        <row r="166">
          <cell r="B166" t="str">
            <v>DP02I Celkom</v>
          </cell>
          <cell r="F166">
            <v>441</v>
          </cell>
          <cell r="G166">
            <v>65744</v>
          </cell>
          <cell r="H166">
            <v>164.4</v>
          </cell>
        </row>
        <row r="167">
          <cell r="A167" t="str">
            <v>D0046</v>
          </cell>
          <cell r="B167" t="str">
            <v>DP02J</v>
          </cell>
          <cell r="C167" t="str">
            <v>DP0</v>
          </cell>
          <cell r="D167" t="str">
            <v>SUPPORTAN, príchuť neutrálna</v>
          </cell>
          <cell r="E167" t="str">
            <v>sol 1x500 ml</v>
          </cell>
          <cell r="F167">
            <v>36</v>
          </cell>
          <cell r="G167">
            <v>6033.6</v>
          </cell>
          <cell r="H167">
            <v>1644</v>
          </cell>
          <cell r="I167" t="str">
            <v>2q2007</v>
          </cell>
        </row>
        <row r="168">
          <cell r="A168" t="str">
            <v>D0158</v>
          </cell>
          <cell r="B168" t="str">
            <v>DP02J</v>
          </cell>
          <cell r="C168" t="str">
            <v>DP0</v>
          </cell>
          <cell r="D168" t="str">
            <v>PROSURE, vanilková príchuť</v>
          </cell>
          <cell r="E168" t="str">
            <v>sol 1x240 ml</v>
          </cell>
          <cell r="F168">
            <v>15227</v>
          </cell>
          <cell r="G168">
            <v>1374361.4</v>
          </cell>
          <cell r="H168">
            <v>0</v>
          </cell>
          <cell r="I168" t="str">
            <v>2q2007</v>
          </cell>
        </row>
        <row r="169">
          <cell r="A169" t="str">
            <v>D0159</v>
          </cell>
          <cell r="B169" t="str">
            <v>DP02J</v>
          </cell>
          <cell r="C169" t="str">
            <v>DP0</v>
          </cell>
          <cell r="D169" t="str">
            <v>PROSURE, banánová príchuť</v>
          </cell>
          <cell r="E169" t="str">
            <v>sol 1x240 ml</v>
          </cell>
          <cell r="F169">
            <v>22081</v>
          </cell>
          <cell r="G169">
            <v>1997769.9</v>
          </cell>
          <cell r="H169">
            <v>0</v>
          </cell>
          <cell r="I169" t="str">
            <v>2q2007</v>
          </cell>
        </row>
        <row r="170">
          <cell r="A170" t="str">
            <v>D0160</v>
          </cell>
          <cell r="B170" t="str">
            <v>DP02J</v>
          </cell>
          <cell r="C170" t="str">
            <v>DP0</v>
          </cell>
          <cell r="D170" t="str">
            <v>PROSURE, pomarančová príchuť</v>
          </cell>
          <cell r="E170" t="str">
            <v>sol 1x240 ml</v>
          </cell>
          <cell r="F170">
            <v>15177</v>
          </cell>
          <cell r="G170">
            <v>1373921.2</v>
          </cell>
          <cell r="H170">
            <v>0</v>
          </cell>
          <cell r="I170" t="str">
            <v>2q2007</v>
          </cell>
        </row>
        <row r="171">
          <cell r="A171" t="str">
            <v>D0244</v>
          </cell>
          <cell r="B171" t="str">
            <v>DP02J</v>
          </cell>
          <cell r="C171" t="str">
            <v>DP0</v>
          </cell>
          <cell r="D171" t="str">
            <v>MODULEN IBD</v>
          </cell>
          <cell r="E171" t="str">
            <v>plv 1x400 g</v>
          </cell>
          <cell r="F171">
            <v>248</v>
          </cell>
          <cell r="G171">
            <v>159703</v>
          </cell>
          <cell r="H171">
            <v>0</v>
          </cell>
          <cell r="I171" t="str">
            <v>2q2007</v>
          </cell>
        </row>
        <row r="172">
          <cell r="B172" t="str">
            <v>DP02J Celkom</v>
          </cell>
          <cell r="F172">
            <v>52769</v>
          </cell>
          <cell r="G172">
            <v>4911789.0999999996</v>
          </cell>
          <cell r="H172">
            <v>1644</v>
          </cell>
        </row>
        <row r="173">
          <cell r="A173" t="str">
            <v>D0134</v>
          </cell>
          <cell r="B173" t="str">
            <v>DP02K</v>
          </cell>
          <cell r="C173" t="str">
            <v>DP0</v>
          </cell>
          <cell r="D173" t="str">
            <v>L-ARGINÍN</v>
          </cell>
          <cell r="E173" t="str">
            <v>plv 1x100 g</v>
          </cell>
          <cell r="F173">
            <v>21</v>
          </cell>
          <cell r="G173">
            <v>41800.5</v>
          </cell>
          <cell r="H173">
            <v>0</v>
          </cell>
          <cell r="I173" t="str">
            <v>2q2007</v>
          </cell>
        </row>
        <row r="174">
          <cell r="A174" t="str">
            <v>D0135</v>
          </cell>
          <cell r="B174" t="str">
            <v>DP02K</v>
          </cell>
          <cell r="C174" t="str">
            <v>DP0</v>
          </cell>
          <cell r="D174" t="str">
            <v>L-CITRULÍN</v>
          </cell>
          <cell r="E174" t="str">
            <v>plv 1x100 g</v>
          </cell>
          <cell r="F174">
            <v>1</v>
          </cell>
          <cell r="G174">
            <v>7990.5</v>
          </cell>
          <cell r="H174">
            <v>0</v>
          </cell>
          <cell r="I174" t="str">
            <v>2q2007</v>
          </cell>
        </row>
        <row r="175">
          <cell r="A175" t="str">
            <v>D0136</v>
          </cell>
          <cell r="B175" t="str">
            <v>DP02K</v>
          </cell>
          <cell r="C175" t="str">
            <v>DP0</v>
          </cell>
          <cell r="D175" t="str">
            <v>L-ISOLEUCIN</v>
          </cell>
          <cell r="E175" t="str">
            <v>plv 1x100 g</v>
          </cell>
          <cell r="F175">
            <v>1</v>
          </cell>
          <cell r="G175">
            <v>9011.4</v>
          </cell>
          <cell r="H175">
            <v>0</v>
          </cell>
          <cell r="I175" t="str">
            <v>2q2007</v>
          </cell>
        </row>
        <row r="176">
          <cell r="A176" t="str">
            <v>D0137</v>
          </cell>
          <cell r="B176" t="str">
            <v>DP02K</v>
          </cell>
          <cell r="C176" t="str">
            <v>DP0</v>
          </cell>
          <cell r="D176" t="str">
            <v>L-KARNITÍN</v>
          </cell>
          <cell r="E176" t="str">
            <v>plv 1x1 g</v>
          </cell>
          <cell r="F176">
            <v>1640</v>
          </cell>
          <cell r="G176">
            <v>428790</v>
          </cell>
          <cell r="H176">
            <v>0</v>
          </cell>
          <cell r="I176" t="str">
            <v>2q2007</v>
          </cell>
        </row>
        <row r="177">
          <cell r="A177" t="str">
            <v>D0138</v>
          </cell>
          <cell r="B177" t="str">
            <v>DP02K</v>
          </cell>
          <cell r="C177" t="str">
            <v>DP0</v>
          </cell>
          <cell r="D177" t="str">
            <v>L-VALÍN</v>
          </cell>
          <cell r="E177" t="str">
            <v>plv 1x100 g</v>
          </cell>
          <cell r="F177">
            <v>1</v>
          </cell>
          <cell r="G177">
            <v>5216.5</v>
          </cell>
          <cell r="H177">
            <v>0</v>
          </cell>
          <cell r="I177" t="str">
            <v>2q2007</v>
          </cell>
        </row>
        <row r="178">
          <cell r="A178" t="str">
            <v>D0233</v>
          </cell>
          <cell r="B178" t="str">
            <v>DP02K</v>
          </cell>
          <cell r="C178" t="str">
            <v>DP0</v>
          </cell>
          <cell r="D178" t="str">
            <v>L-CARNITINE IMUNA</v>
          </cell>
          <cell r="E178" t="str">
            <v>plv 30x1 g</v>
          </cell>
          <cell r="F178">
            <v>1</v>
          </cell>
          <cell r="G178">
            <v>7845.5</v>
          </cell>
          <cell r="H178">
            <v>0</v>
          </cell>
          <cell r="I178" t="str">
            <v>2q2007</v>
          </cell>
        </row>
        <row r="179">
          <cell r="B179" t="str">
            <v>DP02K Celkom</v>
          </cell>
          <cell r="F179">
            <v>1665</v>
          </cell>
          <cell r="G179">
            <v>500654.4</v>
          </cell>
          <cell r="H179">
            <v>0</v>
          </cell>
        </row>
        <row r="180">
          <cell r="A180" t="str">
            <v>D0063</v>
          </cell>
          <cell r="B180" t="str">
            <v>DP03A</v>
          </cell>
          <cell r="C180" t="str">
            <v>DP0</v>
          </cell>
          <cell r="D180" t="str">
            <v>HAMILON HA 1 HYPOALERGÉNNY</v>
          </cell>
          <cell r="E180" t="str">
            <v>plv 1x300 g</v>
          </cell>
          <cell r="F180">
            <v>4</v>
          </cell>
          <cell r="G180">
            <v>368</v>
          </cell>
          <cell r="H180">
            <v>374</v>
          </cell>
          <cell r="I180" t="str">
            <v>2q2007</v>
          </cell>
        </row>
        <row r="181">
          <cell r="A181" t="str">
            <v>D0112</v>
          </cell>
          <cell r="B181" t="str">
            <v>DP03A</v>
          </cell>
          <cell r="C181" t="str">
            <v>DP0</v>
          </cell>
          <cell r="D181" t="str">
            <v>BEBA H.A. 2 BIFIDUS</v>
          </cell>
          <cell r="E181" t="str">
            <v>plv 1x750 g</v>
          </cell>
          <cell r="F181">
            <v>95</v>
          </cell>
          <cell r="G181">
            <v>20781.599999999999</v>
          </cell>
          <cell r="H181">
            <v>24207.4</v>
          </cell>
          <cell r="I181" t="str">
            <v>2q2007</v>
          </cell>
        </row>
        <row r="182">
          <cell r="A182" t="str">
            <v>D0114</v>
          </cell>
          <cell r="B182" t="str">
            <v>DP03A</v>
          </cell>
          <cell r="C182" t="str">
            <v>DP0</v>
          </cell>
          <cell r="D182" t="str">
            <v>BEBA 2 HA Premium</v>
          </cell>
          <cell r="E182" t="str">
            <v>plv 1x750 g</v>
          </cell>
          <cell r="F182">
            <v>7069.5</v>
          </cell>
          <cell r="G182">
            <v>1548736.02</v>
          </cell>
          <cell r="H182">
            <v>1967676</v>
          </cell>
          <cell r="I182" t="str">
            <v>2q2007</v>
          </cell>
        </row>
        <row r="183">
          <cell r="A183" t="str">
            <v>D0117</v>
          </cell>
          <cell r="B183" t="str">
            <v>DP03A</v>
          </cell>
          <cell r="C183" t="str">
            <v>DP0</v>
          </cell>
          <cell r="D183" t="str">
            <v>BEBA 1 HA Premium</v>
          </cell>
          <cell r="E183" t="str">
            <v>plv 1x750 g</v>
          </cell>
          <cell r="F183">
            <v>5850</v>
          </cell>
          <cell r="G183">
            <v>1460913.95</v>
          </cell>
          <cell r="H183">
            <v>1448994.18</v>
          </cell>
          <cell r="I183" t="str">
            <v>2q2007</v>
          </cell>
        </row>
        <row r="184">
          <cell r="A184" t="str">
            <v>D0121</v>
          </cell>
          <cell r="B184" t="str">
            <v>DP03A</v>
          </cell>
          <cell r="C184" t="str">
            <v>DP0</v>
          </cell>
          <cell r="D184" t="str">
            <v>NUTRILON HA 1 HYPOALERGÉNNY</v>
          </cell>
          <cell r="E184" t="str">
            <v>plv 1x400 g</v>
          </cell>
          <cell r="F184">
            <v>8999</v>
          </cell>
          <cell r="G184">
            <v>1111541.08</v>
          </cell>
          <cell r="H184">
            <v>1233830.2</v>
          </cell>
          <cell r="I184" t="str">
            <v>2q2007</v>
          </cell>
        </row>
        <row r="185">
          <cell r="A185" t="str">
            <v>D0122</v>
          </cell>
          <cell r="B185" t="str">
            <v>DP03A</v>
          </cell>
          <cell r="C185" t="str">
            <v>DP0</v>
          </cell>
          <cell r="D185" t="str">
            <v>NUTRILON HA 2 HYPOALERGÉNNY</v>
          </cell>
          <cell r="E185" t="str">
            <v>plv 1x400 g</v>
          </cell>
          <cell r="F185">
            <v>10372</v>
          </cell>
          <cell r="G185">
            <v>1285281.74</v>
          </cell>
          <cell r="H185">
            <v>1422272.16</v>
          </cell>
          <cell r="I185" t="str">
            <v>2q2007</v>
          </cell>
        </row>
        <row r="186">
          <cell r="A186" t="str">
            <v>D0143</v>
          </cell>
          <cell r="B186" t="str">
            <v>DP03A</v>
          </cell>
          <cell r="C186" t="str">
            <v>DP0</v>
          </cell>
          <cell r="D186" t="str">
            <v>NUTRILON 1 OMNEO</v>
          </cell>
          <cell r="E186" t="str">
            <v>plv 1x400 g</v>
          </cell>
          <cell r="F186">
            <v>1548</v>
          </cell>
          <cell r="G186">
            <v>170668.7</v>
          </cell>
          <cell r="H186">
            <v>221715.6</v>
          </cell>
          <cell r="I186" t="str">
            <v>2q2007</v>
          </cell>
        </row>
        <row r="187">
          <cell r="A187" t="str">
            <v>D0144</v>
          </cell>
          <cell r="B187" t="str">
            <v>DP03A</v>
          </cell>
          <cell r="C187" t="str">
            <v>DP0</v>
          </cell>
          <cell r="D187" t="str">
            <v>NUTRILON 2 OMNEO</v>
          </cell>
          <cell r="E187" t="str">
            <v>plv 1x400 g</v>
          </cell>
          <cell r="F187">
            <v>1422</v>
          </cell>
          <cell r="G187">
            <v>150013.20000000001</v>
          </cell>
          <cell r="H187">
            <v>208576.6</v>
          </cell>
          <cell r="I187" t="str">
            <v>2q2007</v>
          </cell>
        </row>
        <row r="188">
          <cell r="A188" t="str">
            <v>D0228</v>
          </cell>
          <cell r="B188" t="str">
            <v>DP03A</v>
          </cell>
          <cell r="C188" t="str">
            <v>DP0</v>
          </cell>
          <cell r="D188" t="str">
            <v>Humana HA 2</v>
          </cell>
          <cell r="E188" t="str">
            <v>plv 1x650 g</v>
          </cell>
          <cell r="F188">
            <v>1005</v>
          </cell>
          <cell r="G188">
            <v>188196.8</v>
          </cell>
          <cell r="H188">
            <v>236788.9</v>
          </cell>
          <cell r="I188" t="str">
            <v>2q2007</v>
          </cell>
        </row>
        <row r="189">
          <cell r="A189" t="str">
            <v>D0229</v>
          </cell>
          <cell r="B189" t="str">
            <v>DP03A</v>
          </cell>
          <cell r="C189" t="str">
            <v>DP0</v>
          </cell>
          <cell r="D189" t="str">
            <v>Humana HA 1</v>
          </cell>
          <cell r="E189" t="str">
            <v>plv 1x650 g</v>
          </cell>
          <cell r="F189">
            <v>555</v>
          </cell>
          <cell r="G189">
            <v>111205.9</v>
          </cell>
          <cell r="H189">
            <v>118600.8</v>
          </cell>
          <cell r="I189" t="str">
            <v>2q2007</v>
          </cell>
        </row>
        <row r="190">
          <cell r="A190" t="str">
            <v>D0257</v>
          </cell>
          <cell r="B190" t="str">
            <v>DP03A</v>
          </cell>
          <cell r="C190" t="str">
            <v>DP0</v>
          </cell>
          <cell r="D190" t="str">
            <v>Nutrilon 2 Comfort</v>
          </cell>
          <cell r="E190" t="str">
            <v>plv 1x400 g</v>
          </cell>
          <cell r="F190">
            <v>237</v>
          </cell>
          <cell r="G190">
            <v>25545.4</v>
          </cell>
          <cell r="H190">
            <v>33278.300000000003</v>
          </cell>
          <cell r="I190" t="str">
            <v>2q2007</v>
          </cell>
        </row>
        <row r="191">
          <cell r="A191" t="str">
            <v>D0258</v>
          </cell>
          <cell r="B191" t="str">
            <v>DP03A</v>
          </cell>
          <cell r="C191" t="str">
            <v>DP0</v>
          </cell>
          <cell r="D191" t="str">
            <v>Nutrilon 1 Comfort</v>
          </cell>
          <cell r="E191" t="str">
            <v>plv 1x400 g</v>
          </cell>
          <cell r="F191">
            <v>102</v>
          </cell>
          <cell r="G191">
            <v>11448.9</v>
          </cell>
          <cell r="H191">
            <v>14915</v>
          </cell>
          <cell r="I191" t="str">
            <v>2q2007</v>
          </cell>
        </row>
        <row r="192">
          <cell r="A192" t="str">
            <v>D0259</v>
          </cell>
          <cell r="B192" t="str">
            <v>DP03A</v>
          </cell>
          <cell r="C192" t="str">
            <v>DP0</v>
          </cell>
          <cell r="D192" t="str">
            <v>Hami 2 HA</v>
          </cell>
          <cell r="E192" t="str">
            <v>plv 1x300 g</v>
          </cell>
          <cell r="F192">
            <v>343</v>
          </cell>
          <cell r="G192">
            <v>32818.480000000003</v>
          </cell>
          <cell r="H192">
            <v>28872.82</v>
          </cell>
          <cell r="I192" t="str">
            <v>2q2007</v>
          </cell>
        </row>
        <row r="193">
          <cell r="A193" t="str">
            <v>D0260</v>
          </cell>
          <cell r="B193" t="str">
            <v>DP03A</v>
          </cell>
          <cell r="C193" t="str">
            <v>DP0</v>
          </cell>
          <cell r="D193" t="str">
            <v>Hami 1  HA</v>
          </cell>
          <cell r="E193" t="str">
            <v>plv 1x300 g</v>
          </cell>
          <cell r="F193">
            <v>148</v>
          </cell>
          <cell r="G193">
            <v>13524.6</v>
          </cell>
          <cell r="H193">
            <v>13395.8</v>
          </cell>
          <cell r="I193" t="str">
            <v>2q2007</v>
          </cell>
        </row>
        <row r="194">
          <cell r="A194" t="str">
            <v>D0288</v>
          </cell>
          <cell r="B194" t="str">
            <v>DP03A</v>
          </cell>
          <cell r="C194" t="str">
            <v>DP0</v>
          </cell>
          <cell r="D194" t="str">
            <v>Humana HA 2</v>
          </cell>
          <cell r="E194" t="str">
            <v>plv 1x600 g</v>
          </cell>
          <cell r="F194">
            <v>6</v>
          </cell>
          <cell r="G194">
            <v>1127.4000000000001</v>
          </cell>
          <cell r="H194">
            <v>1284</v>
          </cell>
          <cell r="I194" t="str">
            <v>2q2007</v>
          </cell>
        </row>
        <row r="195">
          <cell r="B195" t="str">
            <v>DP03A Celkom</v>
          </cell>
          <cell r="F195">
            <v>37755.5</v>
          </cell>
          <cell r="G195">
            <v>6132171.7700000023</v>
          </cell>
          <cell r="H195">
            <v>6974781.7599999998</v>
          </cell>
        </row>
        <row r="196">
          <cell r="A196" t="str">
            <v>D0061</v>
          </cell>
          <cell r="B196" t="str">
            <v>DP03B</v>
          </cell>
          <cell r="C196" t="str">
            <v>DP0</v>
          </cell>
          <cell r="D196" t="str">
            <v>NUTRILON 1 LOW LACTOSE</v>
          </cell>
          <cell r="E196" t="str">
            <v>plv 1x400 g</v>
          </cell>
          <cell r="F196">
            <v>1508</v>
          </cell>
          <cell r="G196">
            <v>134385.60000000001</v>
          </cell>
          <cell r="H196">
            <v>173427.4</v>
          </cell>
          <cell r="I196" t="str">
            <v>2q2007</v>
          </cell>
        </row>
        <row r="197">
          <cell r="A197" t="str">
            <v>D0119</v>
          </cell>
          <cell r="B197" t="str">
            <v>DP03B</v>
          </cell>
          <cell r="C197" t="str">
            <v>DP0</v>
          </cell>
          <cell r="D197" t="str">
            <v>AL110</v>
          </cell>
          <cell r="E197" t="str">
            <v>plv 1x400 g</v>
          </cell>
          <cell r="F197">
            <v>901</v>
          </cell>
          <cell r="G197">
            <v>78814.899999999994</v>
          </cell>
          <cell r="H197">
            <v>116093</v>
          </cell>
          <cell r="I197" t="str">
            <v>2q2007</v>
          </cell>
        </row>
        <row r="198">
          <cell r="B198" t="str">
            <v>DP03B Celkom</v>
          </cell>
          <cell r="F198">
            <v>2409</v>
          </cell>
          <cell r="G198">
            <v>213200.5</v>
          </cell>
          <cell r="H198">
            <v>289520.40000000002</v>
          </cell>
        </row>
        <row r="199">
          <cell r="A199" t="str">
            <v>D0065</v>
          </cell>
          <cell r="B199" t="str">
            <v>DP03C</v>
          </cell>
          <cell r="C199" t="str">
            <v>DP0</v>
          </cell>
          <cell r="D199" t="str">
            <v>NUTRILON 1 A.R.</v>
          </cell>
          <cell r="E199" t="str">
            <v>plv 1x400 g</v>
          </cell>
          <cell r="F199">
            <v>5224</v>
          </cell>
          <cell r="G199">
            <v>501182.9</v>
          </cell>
          <cell r="H199">
            <v>546091.69999999995</v>
          </cell>
          <cell r="I199" t="str">
            <v>2q2007</v>
          </cell>
        </row>
        <row r="200">
          <cell r="A200" t="str">
            <v>D0066</v>
          </cell>
          <cell r="B200" t="str">
            <v>DP03C</v>
          </cell>
          <cell r="C200" t="str">
            <v>DP0</v>
          </cell>
          <cell r="D200" t="str">
            <v>NUTRILON 2 A.R.</v>
          </cell>
          <cell r="E200" t="str">
            <v>plv 1x400 g</v>
          </cell>
          <cell r="F200">
            <v>9749</v>
          </cell>
          <cell r="G200">
            <v>879631.82</v>
          </cell>
          <cell r="H200">
            <v>1076436.7</v>
          </cell>
          <cell r="I200" t="str">
            <v>2q2007</v>
          </cell>
        </row>
        <row r="201">
          <cell r="A201" t="str">
            <v>D0113</v>
          </cell>
          <cell r="B201" t="str">
            <v>DP03C</v>
          </cell>
          <cell r="C201" t="str">
            <v>DP0</v>
          </cell>
          <cell r="D201" t="str">
            <v>BEBA 1 A.R.</v>
          </cell>
          <cell r="E201" t="str">
            <v>plv 1x750 g</v>
          </cell>
          <cell r="F201">
            <v>2074.5</v>
          </cell>
          <cell r="G201">
            <v>390686.4</v>
          </cell>
          <cell r="H201">
            <v>493345.6</v>
          </cell>
          <cell r="I201" t="str">
            <v>2q2007</v>
          </cell>
        </row>
        <row r="202">
          <cell r="A202" t="str">
            <v>D0217</v>
          </cell>
          <cell r="B202" t="str">
            <v>DP03C</v>
          </cell>
          <cell r="C202" t="str">
            <v>DP0</v>
          </cell>
          <cell r="D202" t="str">
            <v>NUTRITON</v>
          </cell>
          <cell r="E202" t="str">
            <v>plv 1x135 g</v>
          </cell>
          <cell r="F202">
            <v>225</v>
          </cell>
          <cell r="G202">
            <v>6448.3</v>
          </cell>
          <cell r="H202">
            <v>50398.5</v>
          </cell>
          <cell r="I202" t="str">
            <v>2q2007</v>
          </cell>
        </row>
        <row r="203">
          <cell r="A203" t="str">
            <v>D0235</v>
          </cell>
          <cell r="B203" t="str">
            <v>DP03C</v>
          </cell>
          <cell r="C203" t="str">
            <v>DP0</v>
          </cell>
          <cell r="D203" t="str">
            <v>HUMANA AR</v>
          </cell>
          <cell r="E203" t="str">
            <v>plv 1x400 g</v>
          </cell>
          <cell r="F203">
            <v>789</v>
          </cell>
          <cell r="G203">
            <v>79685.399999999994</v>
          </cell>
          <cell r="H203">
            <v>88829.1</v>
          </cell>
          <cell r="I203" t="str">
            <v>2q2007</v>
          </cell>
        </row>
        <row r="204">
          <cell r="B204" t="str">
            <v>DP03C Celkom</v>
          </cell>
          <cell r="F204">
            <v>18061.5</v>
          </cell>
          <cell r="G204">
            <v>1857634.82</v>
          </cell>
          <cell r="H204">
            <v>2255101.6</v>
          </cell>
        </row>
        <row r="205">
          <cell r="A205" t="str">
            <v>D0059</v>
          </cell>
          <cell r="B205" t="str">
            <v>DP03D</v>
          </cell>
          <cell r="C205" t="str">
            <v>DP0</v>
          </cell>
          <cell r="D205" t="str">
            <v>NUTRILON 1 PEPTI</v>
          </cell>
          <cell r="E205" t="str">
            <v>plv 1x450 g</v>
          </cell>
          <cell r="F205">
            <v>1001</v>
          </cell>
          <cell r="G205">
            <v>159057.79999999999</v>
          </cell>
          <cell r="H205">
            <v>140157.70000000001</v>
          </cell>
          <cell r="I205" t="str">
            <v>2q2007</v>
          </cell>
        </row>
        <row r="206">
          <cell r="A206" t="str">
            <v>D0230</v>
          </cell>
          <cell r="B206" t="str">
            <v>DP03D</v>
          </cell>
          <cell r="C206" t="str">
            <v>DP0</v>
          </cell>
          <cell r="D206" t="str">
            <v>NUTRILON 2 PEPTI</v>
          </cell>
          <cell r="E206" t="str">
            <v>plv 1x450 g</v>
          </cell>
          <cell r="F206">
            <v>3662</v>
          </cell>
          <cell r="G206">
            <v>674192.3</v>
          </cell>
          <cell r="H206">
            <v>433256.8</v>
          </cell>
          <cell r="I206" t="str">
            <v>2q2007</v>
          </cell>
        </row>
        <row r="207">
          <cell r="B207" t="str">
            <v>DP03D Celkom</v>
          </cell>
          <cell r="F207">
            <v>4663</v>
          </cell>
          <cell r="G207">
            <v>833250.10000000009</v>
          </cell>
          <cell r="H207">
            <v>573414.5</v>
          </cell>
        </row>
        <row r="208">
          <cell r="A208" t="str">
            <v>D0060</v>
          </cell>
          <cell r="B208" t="str">
            <v>DP03E</v>
          </cell>
          <cell r="C208" t="str">
            <v>DP0</v>
          </cell>
          <cell r="D208" t="str">
            <v>NUTRILON PEPTI MCT</v>
          </cell>
          <cell r="E208" t="str">
            <v>plv 1x450 g</v>
          </cell>
          <cell r="F208">
            <v>697</v>
          </cell>
          <cell r="G208">
            <v>249471.1</v>
          </cell>
          <cell r="H208">
            <v>81225.100000000006</v>
          </cell>
          <cell r="I208" t="str">
            <v>2q2007</v>
          </cell>
        </row>
        <row r="209">
          <cell r="A209" t="str">
            <v>D0120</v>
          </cell>
          <cell r="B209" t="str">
            <v>DP03E</v>
          </cell>
          <cell r="C209" t="str">
            <v>DP0</v>
          </cell>
          <cell r="D209" t="str">
            <v>ALFARE</v>
          </cell>
          <cell r="E209" t="str">
            <v>plv 1x400 g</v>
          </cell>
          <cell r="F209">
            <v>394</v>
          </cell>
          <cell r="G209">
            <v>109318.2</v>
          </cell>
          <cell r="H209">
            <v>69106.2</v>
          </cell>
          <cell r="I209" t="str">
            <v>2q2007</v>
          </cell>
        </row>
        <row r="210">
          <cell r="B210" t="str">
            <v>DP03E Celkom</v>
          </cell>
          <cell r="F210">
            <v>1091</v>
          </cell>
          <cell r="G210">
            <v>358789.3</v>
          </cell>
          <cell r="H210">
            <v>150331.29999999999</v>
          </cell>
        </row>
        <row r="211">
          <cell r="A211" t="str">
            <v>D0128</v>
          </cell>
          <cell r="B211" t="str">
            <v>DP03F</v>
          </cell>
          <cell r="C211" t="str">
            <v>DP0</v>
          </cell>
          <cell r="D211" t="str">
            <v>NEOCATE</v>
          </cell>
          <cell r="E211" t="str">
            <v>plv 1x400 g</v>
          </cell>
          <cell r="F211">
            <v>964</v>
          </cell>
          <cell r="G211">
            <v>2117894.1</v>
          </cell>
          <cell r="H211">
            <v>24671.200000000001</v>
          </cell>
          <cell r="I211" t="str">
            <v>2q2007</v>
          </cell>
        </row>
        <row r="212">
          <cell r="A212" t="str">
            <v>D0246</v>
          </cell>
          <cell r="B212" t="str">
            <v>DP03F</v>
          </cell>
          <cell r="C212" t="str">
            <v>DP0</v>
          </cell>
          <cell r="D212" t="str">
            <v>NEOCATE ADVANCE</v>
          </cell>
          <cell r="E212" t="str">
            <v>plv 1x400 g</v>
          </cell>
          <cell r="F212">
            <v>638</v>
          </cell>
          <cell r="G212">
            <v>1416173.3</v>
          </cell>
          <cell r="H212">
            <v>17618.599999999999</v>
          </cell>
          <cell r="I212" t="str">
            <v>2q2007</v>
          </cell>
        </row>
        <row r="213">
          <cell r="B213" t="str">
            <v>DP03F Celkom</v>
          </cell>
          <cell r="F213">
            <v>1602</v>
          </cell>
          <cell r="G213">
            <v>3534067.4000000004</v>
          </cell>
          <cell r="H213">
            <v>42289.8</v>
          </cell>
        </row>
        <row r="214">
          <cell r="A214" t="str">
            <v>D0008</v>
          </cell>
          <cell r="B214" t="str">
            <v>DP03G</v>
          </cell>
          <cell r="C214" t="str">
            <v>DP0</v>
          </cell>
          <cell r="D214" t="str">
            <v>ISOMIL 400</v>
          </cell>
          <cell r="E214" t="str">
            <v>plv 1x400 g</v>
          </cell>
          <cell r="F214">
            <v>2</v>
          </cell>
          <cell r="G214">
            <v>47.4</v>
          </cell>
          <cell r="H214">
            <v>268.39999999999998</v>
          </cell>
          <cell r="I214" t="str">
            <v>2q2007</v>
          </cell>
        </row>
        <row r="215">
          <cell r="A215" t="str">
            <v>D0058</v>
          </cell>
          <cell r="B215" t="str">
            <v>DP03G</v>
          </cell>
          <cell r="C215" t="str">
            <v>DP0</v>
          </cell>
          <cell r="D215" t="str">
            <v>NUTRILON 1 SOYA</v>
          </cell>
          <cell r="E215" t="str">
            <v>plv 1x400 g</v>
          </cell>
          <cell r="F215">
            <v>200</v>
          </cell>
          <cell r="G215">
            <v>3870.13</v>
          </cell>
          <cell r="H215">
            <v>40635.599999999999</v>
          </cell>
          <cell r="I215" t="str">
            <v>2q2007</v>
          </cell>
        </row>
        <row r="216">
          <cell r="B216" t="str">
            <v>DP03G Celkom</v>
          </cell>
          <cell r="F216">
            <v>202</v>
          </cell>
          <cell r="G216">
            <v>3917.53</v>
          </cell>
          <cell r="H216">
            <v>40904</v>
          </cell>
        </row>
        <row r="217">
          <cell r="A217" t="str">
            <v>D0062</v>
          </cell>
          <cell r="B217" t="str">
            <v>DP03H</v>
          </cell>
          <cell r="C217" t="str">
            <v>DP0</v>
          </cell>
          <cell r="D217" t="str">
            <v>NUTRILON NENATAL LCP</v>
          </cell>
          <cell r="E217" t="str">
            <v>plv 1x400 g</v>
          </cell>
          <cell r="F217">
            <v>598</v>
          </cell>
          <cell r="G217">
            <v>149817.70000000001</v>
          </cell>
          <cell r="H217">
            <v>81433.100000000006</v>
          </cell>
          <cell r="I217" t="str">
            <v>2q2007</v>
          </cell>
        </row>
        <row r="218">
          <cell r="A218" t="str">
            <v>D0118</v>
          </cell>
          <cell r="B218" t="str">
            <v>DP03H</v>
          </cell>
          <cell r="C218" t="str">
            <v>DP0</v>
          </cell>
          <cell r="D218" t="str">
            <v>ALPREM</v>
          </cell>
          <cell r="E218" t="str">
            <v>plv 1x400 g</v>
          </cell>
          <cell r="F218">
            <v>24</v>
          </cell>
          <cell r="G218">
            <v>6145</v>
          </cell>
          <cell r="H218">
            <v>599.70000000000005</v>
          </cell>
          <cell r="I218" t="str">
            <v>2q2007</v>
          </cell>
        </row>
        <row r="219">
          <cell r="A219" t="str">
            <v>D0142</v>
          </cell>
          <cell r="B219" t="str">
            <v>DP03H</v>
          </cell>
          <cell r="C219" t="str">
            <v>DP0</v>
          </cell>
          <cell r="D219" t="str">
            <v>NUTRILON BMF</v>
          </cell>
          <cell r="E219" t="str">
            <v>plv 50x2,1 g</v>
          </cell>
          <cell r="F219">
            <v>63</v>
          </cell>
          <cell r="G219">
            <v>43274.8</v>
          </cell>
          <cell r="H219">
            <v>4211.3</v>
          </cell>
          <cell r="I219" t="str">
            <v>2q2007</v>
          </cell>
        </row>
        <row r="220">
          <cell r="A220" t="str">
            <v>D0236</v>
          </cell>
          <cell r="B220" t="str">
            <v>DP03H</v>
          </cell>
          <cell r="C220" t="str">
            <v>DP0</v>
          </cell>
          <cell r="D220" t="str">
            <v>BEBA ALPRÉM</v>
          </cell>
          <cell r="E220" t="str">
            <v>plv 1x400 g</v>
          </cell>
          <cell r="F220">
            <v>309</v>
          </cell>
          <cell r="G220">
            <v>73774.3</v>
          </cell>
          <cell r="H220">
            <v>53996.1</v>
          </cell>
          <cell r="I220" t="str">
            <v>2q2007</v>
          </cell>
        </row>
        <row r="221">
          <cell r="A221" t="str">
            <v>D0278</v>
          </cell>
          <cell r="B221" t="str">
            <v>DP03H</v>
          </cell>
          <cell r="C221" t="str">
            <v>DP0</v>
          </cell>
          <cell r="D221" t="str">
            <v>Nutrilon 0 Nenatal</v>
          </cell>
          <cell r="E221" t="str">
            <v>plv 1x400 g</v>
          </cell>
          <cell r="F221">
            <v>9</v>
          </cell>
          <cell r="G221">
            <v>1920</v>
          </cell>
          <cell r="H221">
            <v>1499.2</v>
          </cell>
          <cell r="I221" t="str">
            <v>2q2007</v>
          </cell>
        </row>
        <row r="222">
          <cell r="A222" t="str">
            <v>D0279</v>
          </cell>
          <cell r="B222" t="str">
            <v>DP03H</v>
          </cell>
          <cell r="C222" t="str">
            <v>DP0</v>
          </cell>
          <cell r="D222" t="str">
            <v>Nutrilon 1 Nenatal</v>
          </cell>
          <cell r="E222" t="str">
            <v>plv 1x400 g</v>
          </cell>
          <cell r="F222">
            <v>12</v>
          </cell>
          <cell r="G222">
            <v>2864.4</v>
          </cell>
          <cell r="H222">
            <v>2236.4</v>
          </cell>
          <cell r="I222" t="str">
            <v>2q2007</v>
          </cell>
        </row>
      </sheetData>
      <sheetData sheetId="3">
        <row r="2">
          <cell r="A2" t="str">
            <v>D0081</v>
          </cell>
          <cell r="B2" t="str">
            <v>DP01A</v>
          </cell>
          <cell r="C2" t="str">
            <v>DP0</v>
          </cell>
          <cell r="D2" t="str">
            <v>MILUPA PKU 2</v>
          </cell>
          <cell r="E2" t="str">
            <v>plv 1x500 g</v>
          </cell>
          <cell r="F2">
            <v>33</v>
          </cell>
          <cell r="G2">
            <v>232296</v>
          </cell>
          <cell r="H2">
            <v>0</v>
          </cell>
          <cell r="I2" t="str">
            <v>3q2007</v>
          </cell>
        </row>
        <row r="3">
          <cell r="A3" t="str">
            <v>D0082</v>
          </cell>
          <cell r="B3" t="str">
            <v>DP01A</v>
          </cell>
          <cell r="C3" t="str">
            <v>DP0</v>
          </cell>
          <cell r="D3" t="str">
            <v>MILUPA PKU 3</v>
          </cell>
          <cell r="E3" t="str">
            <v>plv 1x500 g</v>
          </cell>
          <cell r="F3">
            <v>37</v>
          </cell>
          <cell r="G3">
            <v>266141</v>
          </cell>
          <cell r="H3">
            <v>0</v>
          </cell>
          <cell r="I3" t="str">
            <v>3q2007</v>
          </cell>
        </row>
        <row r="4">
          <cell r="A4" t="str">
            <v>D0083</v>
          </cell>
          <cell r="B4" t="str">
            <v>DP01A</v>
          </cell>
          <cell r="C4" t="str">
            <v>DP0</v>
          </cell>
          <cell r="D4" t="str">
            <v>MILUPA PKU 2 SHAKE ČOKOLÁDA</v>
          </cell>
          <cell r="E4" t="str">
            <v>plv 1x30 g</v>
          </cell>
          <cell r="F4">
            <v>175</v>
          </cell>
          <cell r="G4">
            <v>36050</v>
          </cell>
          <cell r="H4">
            <v>1050</v>
          </cell>
          <cell r="I4" t="str">
            <v>3q2007</v>
          </cell>
        </row>
        <row r="5">
          <cell r="A5" t="str">
            <v>D0084</v>
          </cell>
          <cell r="B5" t="str">
            <v>DP01A</v>
          </cell>
          <cell r="C5" t="str">
            <v>DP0</v>
          </cell>
          <cell r="D5" t="str">
            <v>MILUPA PKU 2 SHAKE JAHODA-VANILKA</v>
          </cell>
          <cell r="E5" t="str">
            <v>plv 1x30 g</v>
          </cell>
          <cell r="F5">
            <v>75</v>
          </cell>
          <cell r="G5">
            <v>15450</v>
          </cell>
          <cell r="H5">
            <v>450</v>
          </cell>
          <cell r="I5" t="str">
            <v>3q2007</v>
          </cell>
        </row>
        <row r="6">
          <cell r="A6" t="str">
            <v>D0088</v>
          </cell>
          <cell r="B6" t="str">
            <v>DP01A</v>
          </cell>
          <cell r="C6" t="str">
            <v>DP0</v>
          </cell>
          <cell r="D6" t="str">
            <v>P-AM 2</v>
          </cell>
          <cell r="E6" t="str">
            <v>plv 1x500 g</v>
          </cell>
          <cell r="F6">
            <v>154</v>
          </cell>
          <cell r="G6">
            <v>1172540.6000000001</v>
          </cell>
          <cell r="H6">
            <v>0</v>
          </cell>
          <cell r="I6" t="str">
            <v>3q2007</v>
          </cell>
        </row>
        <row r="7">
          <cell r="A7" t="str">
            <v>D0089</v>
          </cell>
          <cell r="B7" t="str">
            <v>DP01A</v>
          </cell>
          <cell r="C7" t="str">
            <v>DP0</v>
          </cell>
          <cell r="D7" t="str">
            <v>P-AM 3</v>
          </cell>
          <cell r="E7" t="str">
            <v>plv 1x500 g</v>
          </cell>
          <cell r="F7">
            <v>282</v>
          </cell>
          <cell r="G7">
            <v>2147116.2000000002</v>
          </cell>
          <cell r="H7">
            <v>0</v>
          </cell>
          <cell r="I7" t="str">
            <v>3q2007</v>
          </cell>
        </row>
        <row r="8">
          <cell r="A8" t="str">
            <v>D0090</v>
          </cell>
          <cell r="B8" t="str">
            <v>DP01A</v>
          </cell>
          <cell r="C8" t="str">
            <v>DP0</v>
          </cell>
          <cell r="D8" t="str">
            <v>P-AM UNIVERSAL</v>
          </cell>
          <cell r="E8" t="str">
            <v>plv 1x500 g</v>
          </cell>
          <cell r="F8">
            <v>5</v>
          </cell>
          <cell r="G8">
            <v>36481.5</v>
          </cell>
          <cell r="H8">
            <v>0</v>
          </cell>
          <cell r="I8" t="str">
            <v>3q2007</v>
          </cell>
        </row>
        <row r="9">
          <cell r="A9" t="str">
            <v>D0129</v>
          </cell>
          <cell r="B9" t="str">
            <v>DP01A</v>
          </cell>
          <cell r="C9" t="str">
            <v>DP0</v>
          </cell>
          <cell r="D9" t="str">
            <v>XP ANALOG LCP</v>
          </cell>
          <cell r="E9" t="str">
            <v>plv 1x400 g</v>
          </cell>
          <cell r="F9">
            <v>68</v>
          </cell>
          <cell r="G9">
            <v>163580.79999999999</v>
          </cell>
          <cell r="H9">
            <v>0</v>
          </cell>
          <cell r="I9" t="str">
            <v>3q2007</v>
          </cell>
        </row>
        <row r="10">
          <cell r="A10" t="str">
            <v>D0131</v>
          </cell>
          <cell r="B10" t="str">
            <v>DP01A</v>
          </cell>
          <cell r="C10" t="str">
            <v>DP0</v>
          </cell>
          <cell r="D10" t="str">
            <v>PHLEXY-10 TYČINKA</v>
          </cell>
          <cell r="E10" t="str">
            <v>sty 20x42 g</v>
          </cell>
          <cell r="F10">
            <v>13</v>
          </cell>
          <cell r="G10">
            <v>63700</v>
          </cell>
          <cell r="H10">
            <v>1950</v>
          </cell>
          <cell r="I10" t="str">
            <v>3q2007</v>
          </cell>
        </row>
        <row r="11">
          <cell r="A11" t="str">
            <v>D0165</v>
          </cell>
          <cell r="B11" t="str">
            <v>DP01A</v>
          </cell>
          <cell r="C11" t="str">
            <v>DP0</v>
          </cell>
          <cell r="D11" t="str">
            <v>XPhe Advance Se</v>
          </cell>
          <cell r="E11" t="str">
            <v>plv 1x500 g</v>
          </cell>
          <cell r="F11">
            <v>260</v>
          </cell>
          <cell r="G11">
            <v>1951863</v>
          </cell>
          <cell r="H11">
            <v>0</v>
          </cell>
          <cell r="I11" t="str">
            <v>3q2007</v>
          </cell>
        </row>
        <row r="12">
          <cell r="A12" t="str">
            <v>D0166</v>
          </cell>
          <cell r="B12" t="str">
            <v>DP01A</v>
          </cell>
          <cell r="C12" t="str">
            <v>DP0</v>
          </cell>
          <cell r="D12" t="str">
            <v>XPhe Kid Se</v>
          </cell>
          <cell r="E12" t="str">
            <v>plv 1x500 g</v>
          </cell>
          <cell r="F12">
            <v>68</v>
          </cell>
          <cell r="G12">
            <v>464906</v>
          </cell>
          <cell r="H12">
            <v>0</v>
          </cell>
          <cell r="I12" t="str">
            <v>3q2007</v>
          </cell>
        </row>
        <row r="13">
          <cell r="A13" t="str">
            <v>D0167</v>
          </cell>
          <cell r="B13" t="str">
            <v>DP01A</v>
          </cell>
          <cell r="C13" t="str">
            <v>DP0</v>
          </cell>
          <cell r="D13" t="str">
            <v>XPhe Junior Se</v>
          </cell>
          <cell r="E13" t="str">
            <v>plv 1x500 g</v>
          </cell>
          <cell r="F13">
            <v>17</v>
          </cell>
          <cell r="G13">
            <v>116300.4</v>
          </cell>
          <cell r="H13">
            <v>0</v>
          </cell>
          <cell r="I13" t="str">
            <v>3q2007</v>
          </cell>
        </row>
        <row r="14">
          <cell r="A14" t="str">
            <v>D0174</v>
          </cell>
          <cell r="B14" t="str">
            <v>DP01A</v>
          </cell>
          <cell r="C14" t="str">
            <v>DP0</v>
          </cell>
          <cell r="D14" t="str">
            <v>APROMIX, nízkobielkovinová múka</v>
          </cell>
          <cell r="E14" t="str">
            <v>1 x 1000 g</v>
          </cell>
          <cell r="F14">
            <v>854</v>
          </cell>
          <cell r="G14">
            <v>85376.8</v>
          </cell>
          <cell r="H14">
            <v>8550.7999999999993</v>
          </cell>
          <cell r="I14" t="str">
            <v>3q2007</v>
          </cell>
        </row>
        <row r="15">
          <cell r="A15" t="str">
            <v>D0181</v>
          </cell>
          <cell r="B15" t="str">
            <v>DP01A</v>
          </cell>
          <cell r="C15" t="str">
            <v>DP0</v>
          </cell>
          <cell r="D15" t="str">
            <v>APROCEL – nízkobielkovinové cestoviny</v>
          </cell>
          <cell r="E15" t="str">
            <v>1 x 250 g</v>
          </cell>
          <cell r="F15">
            <v>1928</v>
          </cell>
          <cell r="G15">
            <v>65292.4</v>
          </cell>
          <cell r="H15">
            <v>63207.5</v>
          </cell>
          <cell r="I15" t="str">
            <v>3q2007</v>
          </cell>
        </row>
        <row r="16">
          <cell r="A16" t="str">
            <v>D0182</v>
          </cell>
          <cell r="B16" t="str">
            <v>DP01A</v>
          </cell>
          <cell r="C16" t="str">
            <v>DP0</v>
          </cell>
          <cell r="D16" t="str">
            <v>Nízkobielkovinové  OBLÁTKY</v>
          </cell>
          <cell r="E16" t="str">
            <v>1 x 100 g</v>
          </cell>
          <cell r="F16">
            <v>206</v>
          </cell>
          <cell r="G16">
            <v>10743.5</v>
          </cell>
          <cell r="H16">
            <v>10269.799999999999</v>
          </cell>
          <cell r="I16" t="str">
            <v>3q2007</v>
          </cell>
        </row>
        <row r="17">
          <cell r="A17" t="str">
            <v>D0186</v>
          </cell>
          <cell r="B17" t="str">
            <v>DP01A</v>
          </cell>
          <cell r="C17" t="str">
            <v>DP0</v>
          </cell>
          <cell r="D17" t="str">
            <v>SinPhe 1</v>
          </cell>
          <cell r="E17" t="str">
            <v>plv 1x500 g</v>
          </cell>
          <cell r="F17">
            <v>349</v>
          </cell>
          <cell r="G17">
            <v>2015518.9</v>
          </cell>
          <cell r="H17">
            <v>0</v>
          </cell>
          <cell r="I17" t="str">
            <v>3q2007</v>
          </cell>
        </row>
        <row r="18">
          <cell r="A18" t="str">
            <v>D0193</v>
          </cell>
          <cell r="B18" t="str">
            <v>DP01A</v>
          </cell>
          <cell r="C18" t="str">
            <v>DP0</v>
          </cell>
          <cell r="D18" t="str">
            <v>APROMIX-T plus, tmavá nízkobielkovinová múka</v>
          </cell>
          <cell r="E18" t="str">
            <v>1 x 1000 g</v>
          </cell>
          <cell r="F18">
            <v>150</v>
          </cell>
          <cell r="G18">
            <v>14978</v>
          </cell>
          <cell r="H18">
            <v>8904.2000000000007</v>
          </cell>
          <cell r="I18" t="str">
            <v>3q2007</v>
          </cell>
        </row>
        <row r="19">
          <cell r="A19" t="str">
            <v>D0195</v>
          </cell>
          <cell r="B19" t="str">
            <v>DP01A</v>
          </cell>
          <cell r="C19" t="str">
            <v>DP0</v>
          </cell>
          <cell r="D19" t="str">
            <v>APROMIX-plus, nízkobielkovinová múka</v>
          </cell>
          <cell r="E19" t="str">
            <v>1 x 1000 g</v>
          </cell>
          <cell r="F19">
            <v>130</v>
          </cell>
          <cell r="G19">
            <v>12834.8</v>
          </cell>
          <cell r="H19">
            <v>7623.9</v>
          </cell>
          <cell r="I19" t="str">
            <v>3q2007</v>
          </cell>
        </row>
        <row r="20">
          <cell r="A20" t="str">
            <v>D0203</v>
          </cell>
          <cell r="B20" t="str">
            <v>DP01A</v>
          </cell>
          <cell r="C20" t="str">
            <v>DP0</v>
          </cell>
          <cell r="D20" t="str">
            <v>MINAPHLEX</v>
          </cell>
          <cell r="E20" t="str">
            <v>plv 1x 29 g</v>
          </cell>
          <cell r="F20">
            <v>1715</v>
          </cell>
          <cell r="G20">
            <v>419074</v>
          </cell>
          <cell r="H20">
            <v>4320.5</v>
          </cell>
          <cell r="I20" t="str">
            <v>3q2007</v>
          </cell>
        </row>
        <row r="21">
          <cell r="A21" t="str">
            <v>D0208</v>
          </cell>
          <cell r="B21" t="str">
            <v>DP01A</v>
          </cell>
          <cell r="C21" t="str">
            <v>DP0</v>
          </cell>
          <cell r="D21" t="str">
            <v>DAMIN LOW PROTEIN MIX</v>
          </cell>
          <cell r="E21" t="str">
            <v>1 x 400 g</v>
          </cell>
          <cell r="F21">
            <v>453</v>
          </cell>
          <cell r="G21">
            <v>50329.1</v>
          </cell>
          <cell r="H21">
            <v>21588.1</v>
          </cell>
          <cell r="I21" t="str">
            <v>3q2007</v>
          </cell>
        </row>
        <row r="22">
          <cell r="A22" t="str">
            <v>D0209</v>
          </cell>
          <cell r="B22" t="str">
            <v>DP01A</v>
          </cell>
          <cell r="C22" t="str">
            <v>DP0</v>
          </cell>
          <cell r="D22" t="str">
            <v>LOPROFIN PKU milk drink</v>
          </cell>
          <cell r="E22" t="str">
            <v>sol 1x200 ml</v>
          </cell>
          <cell r="F22">
            <v>26</v>
          </cell>
          <cell r="G22">
            <v>624</v>
          </cell>
          <cell r="H22">
            <v>608.4</v>
          </cell>
          <cell r="I22" t="str">
            <v>3q2007</v>
          </cell>
        </row>
        <row r="23">
          <cell r="A23" t="str">
            <v>D0210</v>
          </cell>
          <cell r="B23" t="str">
            <v>DP01A</v>
          </cell>
          <cell r="C23" t="str">
            <v>DP0</v>
          </cell>
          <cell r="D23" t="str">
            <v>LOPROFIN dlhé špagety</v>
          </cell>
          <cell r="E23" t="str">
            <v>1x500 g</v>
          </cell>
          <cell r="F23">
            <v>21</v>
          </cell>
          <cell r="G23">
            <v>2276.4</v>
          </cell>
          <cell r="H23">
            <v>2274.3000000000002</v>
          </cell>
          <cell r="I23" t="str">
            <v>3q2007</v>
          </cell>
        </row>
        <row r="24">
          <cell r="A24" t="str">
            <v>D0211</v>
          </cell>
          <cell r="B24" t="str">
            <v>DP01A</v>
          </cell>
          <cell r="C24" t="str">
            <v>DP0</v>
          </cell>
          <cell r="D24" t="str">
            <v>LOPROFIN low protein herb crackers</v>
          </cell>
          <cell r="E24" t="str">
            <v>1x150 g</v>
          </cell>
          <cell r="F24">
            <v>7</v>
          </cell>
          <cell r="G24">
            <v>711.2</v>
          </cell>
          <cell r="H24">
            <v>710.5</v>
          </cell>
          <cell r="I24" t="str">
            <v>3q2007</v>
          </cell>
        </row>
        <row r="25">
          <cell r="A25" t="str">
            <v>D0212</v>
          </cell>
          <cell r="B25" t="str">
            <v>DP01A</v>
          </cell>
          <cell r="C25" t="str">
            <v>DP0</v>
          </cell>
          <cell r="D25" t="str">
            <v>MILUPA lp-drink</v>
          </cell>
          <cell r="E25" t="str">
            <v>1 x 400 g</v>
          </cell>
          <cell r="F25">
            <v>79</v>
          </cell>
          <cell r="G25">
            <v>31362</v>
          </cell>
          <cell r="H25">
            <v>13435.9</v>
          </cell>
          <cell r="I25" t="str">
            <v>3q2007</v>
          </cell>
        </row>
        <row r="26">
          <cell r="A26" t="str">
            <v>D0213</v>
          </cell>
          <cell r="B26" t="str">
            <v>DP01A</v>
          </cell>
          <cell r="C26" t="str">
            <v>DP0</v>
          </cell>
          <cell r="D26" t="str">
            <v>MILUPA lp-flakes</v>
          </cell>
          <cell r="E26" t="str">
            <v>1x375 g</v>
          </cell>
          <cell r="F26">
            <v>16</v>
          </cell>
          <cell r="G26">
            <v>2188</v>
          </cell>
          <cell r="H26">
            <v>2188.1999999999998</v>
          </cell>
          <cell r="I26" t="str">
            <v>3q2007</v>
          </cell>
        </row>
        <row r="27">
          <cell r="A27" t="str">
            <v>D0214</v>
          </cell>
          <cell r="B27" t="str">
            <v>DP01A</v>
          </cell>
          <cell r="C27" t="str">
            <v>DP0</v>
          </cell>
          <cell r="D27" t="str">
            <v>MILUPA lp-ringlets</v>
          </cell>
          <cell r="E27" t="str">
            <v>1x250 g</v>
          </cell>
          <cell r="F27">
            <v>70</v>
          </cell>
          <cell r="G27">
            <v>7183.4</v>
          </cell>
          <cell r="H27">
            <v>7185.8</v>
          </cell>
          <cell r="I27" t="str">
            <v>3q2007</v>
          </cell>
        </row>
        <row r="28">
          <cell r="A28" t="str">
            <v>D0215</v>
          </cell>
          <cell r="B28" t="str">
            <v>DP01A</v>
          </cell>
          <cell r="C28" t="str">
            <v>DP0</v>
          </cell>
          <cell r="D28" t="str">
            <v>MILUPA BASIC-P</v>
          </cell>
          <cell r="E28" t="str">
            <v>plv 1x400 g</v>
          </cell>
          <cell r="F28">
            <v>170</v>
          </cell>
          <cell r="G28">
            <v>247825.8</v>
          </cell>
          <cell r="H28">
            <v>5763</v>
          </cell>
          <cell r="I28" t="str">
            <v>3q2007</v>
          </cell>
        </row>
        <row r="29">
          <cell r="A29" t="str">
            <v>D0216</v>
          </cell>
          <cell r="B29" t="str">
            <v>DP01A</v>
          </cell>
          <cell r="C29" t="str">
            <v>DP0</v>
          </cell>
          <cell r="D29" t="str">
            <v>MILUPA PKU 1 MIX</v>
          </cell>
          <cell r="E29" t="str">
            <v>plv 1x1000 g</v>
          </cell>
          <cell r="F29">
            <v>32</v>
          </cell>
          <cell r="G29">
            <v>148754.9</v>
          </cell>
          <cell r="H29">
            <v>0</v>
          </cell>
          <cell r="I29" t="str">
            <v>3q2007</v>
          </cell>
        </row>
        <row r="30">
          <cell r="A30" t="str">
            <v>D0245</v>
          </cell>
          <cell r="B30" t="str">
            <v>DP01A</v>
          </cell>
          <cell r="C30" t="str">
            <v>DP0</v>
          </cell>
          <cell r="D30" t="str">
            <v>SinPhe basic</v>
          </cell>
          <cell r="E30" t="str">
            <v>plv 1x500 g</v>
          </cell>
          <cell r="F30">
            <v>44</v>
          </cell>
          <cell r="G30">
            <v>254575.8</v>
          </cell>
          <cell r="H30">
            <v>0</v>
          </cell>
          <cell r="I30" t="str">
            <v>3q2007</v>
          </cell>
        </row>
        <row r="31">
          <cell r="A31" t="str">
            <v>D0249</v>
          </cell>
          <cell r="B31" t="str">
            <v>DP01A</v>
          </cell>
          <cell r="C31" t="str">
            <v>DP0</v>
          </cell>
          <cell r="D31" t="str">
            <v>EASIPHEN – pomaranč</v>
          </cell>
          <cell r="E31" t="str">
            <v>sol 1x250 ml</v>
          </cell>
          <cell r="F31">
            <v>50</v>
          </cell>
          <cell r="G31">
            <v>23500</v>
          </cell>
          <cell r="H31">
            <v>0</v>
          </cell>
          <cell r="I31" t="str">
            <v>3q2007</v>
          </cell>
        </row>
        <row r="32">
          <cell r="A32" t="str">
            <v>D0250</v>
          </cell>
          <cell r="B32" t="str">
            <v>DP01A</v>
          </cell>
          <cell r="C32" t="str">
            <v>DP0</v>
          </cell>
          <cell r="D32" t="str">
            <v>EASIPHEN lesné plody</v>
          </cell>
          <cell r="E32" t="str">
            <v>sol 1x250 ml</v>
          </cell>
          <cell r="F32">
            <v>310</v>
          </cell>
          <cell r="G32">
            <v>145700</v>
          </cell>
          <cell r="H32">
            <v>0</v>
          </cell>
          <cell r="I32" t="str">
            <v>3q2007</v>
          </cell>
        </row>
        <row r="33">
          <cell r="A33" t="str">
            <v>D0261</v>
          </cell>
          <cell r="B33" t="str">
            <v>DP01A</v>
          </cell>
          <cell r="C33" t="str">
            <v>DP0</v>
          </cell>
          <cell r="D33" t="str">
            <v>MILUPA lp-drink s čokoládovou príchuťou</v>
          </cell>
          <cell r="E33" t="str">
            <v>1 x 320 g</v>
          </cell>
          <cell r="F33">
            <v>13</v>
          </cell>
          <cell r="G33">
            <v>4175.6000000000004</v>
          </cell>
          <cell r="H33">
            <v>1788.8</v>
          </cell>
          <cell r="I33" t="str">
            <v>3q2007</v>
          </cell>
        </row>
        <row r="34">
          <cell r="A34" t="str">
            <v>D0262</v>
          </cell>
          <cell r="B34" t="str">
            <v>DP01A</v>
          </cell>
          <cell r="C34" t="str">
            <v>DP0</v>
          </cell>
          <cell r="D34" t="str">
            <v>MILUPA PKU 3 advanta   </v>
          </cell>
          <cell r="E34" t="str">
            <v>plv 1x500 g</v>
          </cell>
          <cell r="F34">
            <v>507</v>
          </cell>
          <cell r="G34">
            <v>3755301.6</v>
          </cell>
          <cell r="H34">
            <v>0</v>
          </cell>
          <cell r="I34" t="str">
            <v>3q2007</v>
          </cell>
        </row>
        <row r="35">
          <cell r="A35" t="str">
            <v>D0263</v>
          </cell>
          <cell r="B35" t="str">
            <v>DP01A</v>
          </cell>
          <cell r="C35" t="str">
            <v>DP0</v>
          </cell>
          <cell r="D35" t="str">
            <v>MILUPA PKU 3 activa rajčinová</v>
          </cell>
          <cell r="E35" t="str">
            <v>plv 1x45 g</v>
          </cell>
          <cell r="F35">
            <v>20</v>
          </cell>
          <cell r="G35">
            <v>6180</v>
          </cell>
          <cell r="H35">
            <v>220</v>
          </cell>
          <cell r="I35" t="str">
            <v>3q2007</v>
          </cell>
        </row>
        <row r="36">
          <cell r="A36" t="str">
            <v>D0264</v>
          </cell>
          <cell r="B36" t="str">
            <v>DP01A</v>
          </cell>
          <cell r="C36" t="str">
            <v>DP0</v>
          </cell>
          <cell r="D36" t="str">
            <v>MILUPA PKU 2 activa rajčinová     </v>
          </cell>
          <cell r="E36" t="str">
            <v>plv 1x45 g</v>
          </cell>
          <cell r="F36">
            <v>1</v>
          </cell>
          <cell r="G36">
            <v>309</v>
          </cell>
          <cell r="H36">
            <v>11</v>
          </cell>
          <cell r="I36" t="str">
            <v>3q2007</v>
          </cell>
        </row>
        <row r="37">
          <cell r="A37" t="str">
            <v>D0265</v>
          </cell>
          <cell r="B37" t="str">
            <v>DP01A</v>
          </cell>
          <cell r="C37" t="str">
            <v>DP0</v>
          </cell>
          <cell r="D37" t="str">
            <v>MILUPA PKU 2 secunda      </v>
          </cell>
          <cell r="E37" t="str">
            <v>plv 1x500 g</v>
          </cell>
          <cell r="F37">
            <v>105</v>
          </cell>
          <cell r="G37">
            <v>771343.2</v>
          </cell>
          <cell r="H37">
            <v>0</v>
          </cell>
          <cell r="I37" t="str">
            <v>3q2007</v>
          </cell>
        </row>
        <row r="38">
          <cell r="A38" t="str">
            <v>D0266</v>
          </cell>
          <cell r="B38" t="str">
            <v>DP01A</v>
          </cell>
          <cell r="C38" t="str">
            <v>DP0</v>
          </cell>
          <cell r="D38" t="str">
            <v>EASIPHEN – tropické ovocie</v>
          </cell>
          <cell r="E38" t="str">
            <v>sol 1x250 ml</v>
          </cell>
          <cell r="F38">
            <v>200</v>
          </cell>
          <cell r="G38">
            <v>94000</v>
          </cell>
          <cell r="H38">
            <v>0</v>
          </cell>
          <cell r="I38" t="str">
            <v>3q2007</v>
          </cell>
        </row>
        <row r="39">
          <cell r="A39" t="str">
            <v>D0267</v>
          </cell>
          <cell r="B39" t="str">
            <v>DP01A</v>
          </cell>
          <cell r="C39" t="str">
            <v>DP0</v>
          </cell>
          <cell r="D39" t="str">
            <v>MILUPA PKU 2 prima</v>
          </cell>
          <cell r="E39" t="str">
            <v>plv 1x500 g</v>
          </cell>
          <cell r="F39">
            <v>74</v>
          </cell>
          <cell r="G39">
            <v>469724.6</v>
          </cell>
          <cell r="H39">
            <v>0</v>
          </cell>
          <cell r="I39" t="str">
            <v>3q2007</v>
          </cell>
        </row>
        <row r="40">
          <cell r="A40" t="str">
            <v>D0268</v>
          </cell>
          <cell r="B40" t="str">
            <v>DP01A</v>
          </cell>
          <cell r="C40" t="str">
            <v>DP0</v>
          </cell>
          <cell r="D40" t="str">
            <v>LOPHLEX pomaranč</v>
          </cell>
          <cell r="E40" t="str">
            <v>plv 1x28,7 g</v>
          </cell>
          <cell r="F40">
            <v>341</v>
          </cell>
          <cell r="G40">
            <v>200508</v>
          </cell>
          <cell r="H40">
            <v>682</v>
          </cell>
          <cell r="I40" t="str">
            <v>3q2007</v>
          </cell>
        </row>
        <row r="41">
          <cell r="A41" t="str">
            <v>D0269</v>
          </cell>
          <cell r="B41" t="str">
            <v>DP01A</v>
          </cell>
          <cell r="C41" t="str">
            <v>DP0</v>
          </cell>
          <cell r="D41" t="str">
            <v>LOPHLEX lesné ovocie</v>
          </cell>
          <cell r="E41" t="str">
            <v>plv 1x28,7 g</v>
          </cell>
          <cell r="F41">
            <v>190</v>
          </cell>
          <cell r="G41">
            <v>111720</v>
          </cell>
          <cell r="H41">
            <v>380</v>
          </cell>
          <cell r="I41" t="str">
            <v>3q2007</v>
          </cell>
        </row>
        <row r="42">
          <cell r="A42" t="str">
            <v>D0270</v>
          </cell>
          <cell r="B42" t="str">
            <v>DP01A</v>
          </cell>
          <cell r="C42" t="str">
            <v>DP0</v>
          </cell>
          <cell r="D42" t="str">
            <v>LOPHLEX</v>
          </cell>
          <cell r="E42" t="str">
            <v>plv 1x28,7 g</v>
          </cell>
          <cell r="F42">
            <v>160</v>
          </cell>
          <cell r="G42">
            <v>94080</v>
          </cell>
          <cell r="H42">
            <v>320</v>
          </cell>
          <cell r="I42" t="str">
            <v>3q2007</v>
          </cell>
        </row>
        <row r="43">
          <cell r="A43" t="str">
            <v>D0273</v>
          </cell>
          <cell r="B43" t="str">
            <v>DP01A</v>
          </cell>
          <cell r="C43" t="str">
            <v>DP0</v>
          </cell>
          <cell r="D43" t="str">
            <v>HARIFEN - nízkobielkovinové chrumkavé chlebíčky</v>
          </cell>
          <cell r="E43" t="str">
            <v>1 x 200 g</v>
          </cell>
          <cell r="F43">
            <v>2</v>
          </cell>
          <cell r="G43">
            <v>48</v>
          </cell>
          <cell r="H43">
            <v>348</v>
          </cell>
          <cell r="I43" t="str">
            <v>3q2007</v>
          </cell>
        </row>
        <row r="44">
          <cell r="A44" t="str">
            <v>D0275</v>
          </cell>
          <cell r="B44" t="str">
            <v>DP01A</v>
          </cell>
          <cell r="C44" t="str">
            <v>DP0</v>
          </cell>
          <cell r="D44" t="str">
            <v>HARIFEN - múka na nízkobielkoviný a bezlepkový chlieb a pečivo</v>
          </cell>
          <cell r="E44" t="str">
            <v>1 x 500 g</v>
          </cell>
          <cell r="F44">
            <v>3</v>
          </cell>
          <cell r="G44">
            <v>150</v>
          </cell>
          <cell r="H44">
            <v>444</v>
          </cell>
          <cell r="I44" t="str">
            <v>3q2007</v>
          </cell>
        </row>
        <row r="45">
          <cell r="A45" t="str">
            <v>D0276</v>
          </cell>
          <cell r="B45" t="str">
            <v>DP01A</v>
          </cell>
          <cell r="C45" t="str">
            <v>DP0</v>
          </cell>
          <cell r="D45" t="str">
            <v>HARIFEN - nízkobielkovinové sušienky s príchťou (kakao, vanilka,karamel)</v>
          </cell>
          <cell r="E45" t="str">
            <v>1 x 125g</v>
          </cell>
          <cell r="F45">
            <v>10</v>
          </cell>
          <cell r="G45">
            <v>149.19999999999999</v>
          </cell>
          <cell r="H45">
            <v>1421.6</v>
          </cell>
          <cell r="I45" t="str">
            <v>3q2007</v>
          </cell>
        </row>
        <row r="46">
          <cell r="A46" t="str">
            <v>D0285</v>
          </cell>
          <cell r="B46" t="str">
            <v>DP01A</v>
          </cell>
          <cell r="C46" t="str">
            <v>DP0</v>
          </cell>
          <cell r="D46" t="str">
            <v>LOPROFIN low protein ryža</v>
          </cell>
          <cell r="E46" t="str">
            <v>1 x 500 g</v>
          </cell>
          <cell r="F46">
            <v>5</v>
          </cell>
          <cell r="G46">
            <v>300</v>
          </cell>
          <cell r="H46">
            <v>780</v>
          </cell>
          <cell r="I46" t="str">
            <v>3q2007</v>
          </cell>
        </row>
        <row r="47">
          <cell r="B47" t="str">
            <v>DP01A Celkom</v>
          </cell>
          <cell r="F47">
            <v>9428</v>
          </cell>
          <cell r="G47">
            <v>15713263.699999999</v>
          </cell>
          <cell r="H47">
            <v>166476.29999999999</v>
          </cell>
        </row>
        <row r="48">
          <cell r="A48" t="str">
            <v>D0092</v>
          </cell>
          <cell r="B48" t="str">
            <v>DP01B</v>
          </cell>
          <cell r="C48" t="str">
            <v>DP0</v>
          </cell>
          <cell r="D48" t="str">
            <v>PT-AM 2</v>
          </cell>
          <cell r="E48" t="str">
            <v>plv 1x400 g</v>
          </cell>
          <cell r="F48">
            <v>6</v>
          </cell>
          <cell r="G48">
            <v>38442.6</v>
          </cell>
          <cell r="H48">
            <v>0</v>
          </cell>
          <cell r="I48" t="str">
            <v>3q2007</v>
          </cell>
        </row>
        <row r="49">
          <cell r="B49" t="str">
            <v>DP01B Celkom</v>
          </cell>
          <cell r="F49">
            <v>6</v>
          </cell>
          <cell r="G49">
            <v>38442.6</v>
          </cell>
          <cell r="H49">
            <v>0</v>
          </cell>
        </row>
        <row r="50">
          <cell r="A50" t="str">
            <v>D0108</v>
          </cell>
          <cell r="B50" t="str">
            <v>DP01C</v>
          </cell>
          <cell r="C50" t="str">
            <v>DP0</v>
          </cell>
          <cell r="D50" t="str">
            <v>ILV-AM 2</v>
          </cell>
          <cell r="E50" t="str">
            <v>plv 1x400 g</v>
          </cell>
          <cell r="F50">
            <v>12</v>
          </cell>
          <cell r="G50">
            <v>79288.800000000003</v>
          </cell>
          <cell r="H50">
            <v>0</v>
          </cell>
          <cell r="I50" t="str">
            <v>3q2007</v>
          </cell>
        </row>
        <row r="51">
          <cell r="A51" t="str">
            <v>D0109</v>
          </cell>
          <cell r="B51" t="str">
            <v>DP01C</v>
          </cell>
          <cell r="C51" t="str">
            <v>DP0</v>
          </cell>
          <cell r="D51" t="str">
            <v>ILV-AM 3</v>
          </cell>
          <cell r="E51" t="str">
            <v>plv 1x400 g</v>
          </cell>
          <cell r="F51">
            <v>15</v>
          </cell>
          <cell r="G51">
            <v>99111</v>
          </cell>
          <cell r="H51">
            <v>0</v>
          </cell>
          <cell r="I51" t="str">
            <v>3q2007</v>
          </cell>
        </row>
        <row r="52">
          <cell r="B52" t="str">
            <v>DP01C Celkom</v>
          </cell>
          <cell r="F52">
            <v>27</v>
          </cell>
          <cell r="G52">
            <v>178399.8</v>
          </cell>
          <cell r="H52">
            <v>0</v>
          </cell>
        </row>
        <row r="53">
          <cell r="A53" t="str">
            <v>D0106</v>
          </cell>
          <cell r="B53" t="str">
            <v>DP01D</v>
          </cell>
          <cell r="C53" t="str">
            <v>DP0</v>
          </cell>
          <cell r="D53" t="str">
            <v>M-AM 3</v>
          </cell>
          <cell r="E53" t="str">
            <v>plv 1x400 g</v>
          </cell>
          <cell r="F53">
            <v>94</v>
          </cell>
          <cell r="G53">
            <v>616865.6</v>
          </cell>
          <cell r="H53">
            <v>0</v>
          </cell>
          <cell r="I53" t="str">
            <v>3q2007</v>
          </cell>
        </row>
        <row r="54">
          <cell r="B54" t="str">
            <v>DP01D Celkom</v>
          </cell>
          <cell r="F54">
            <v>94</v>
          </cell>
          <cell r="G54">
            <v>616865.6</v>
          </cell>
          <cell r="H54">
            <v>0</v>
          </cell>
        </row>
        <row r="55">
          <cell r="A55" t="str">
            <v>D0095</v>
          </cell>
          <cell r="B55" t="str">
            <v>DP01E</v>
          </cell>
          <cell r="C55" t="str">
            <v>DP0</v>
          </cell>
          <cell r="D55" t="str">
            <v>LT-AM 2</v>
          </cell>
          <cell r="E55" t="str">
            <v>plv 1x400 g</v>
          </cell>
          <cell r="F55">
            <v>8</v>
          </cell>
          <cell r="G55">
            <v>59216.800000000003</v>
          </cell>
          <cell r="H55">
            <v>0</v>
          </cell>
          <cell r="I55" t="str">
            <v>3q2007</v>
          </cell>
        </row>
        <row r="56">
          <cell r="B56" t="str">
            <v>DP01E Celkom</v>
          </cell>
          <cell r="F56">
            <v>8</v>
          </cell>
          <cell r="G56">
            <v>59216.800000000003</v>
          </cell>
          <cell r="H56">
            <v>0</v>
          </cell>
        </row>
        <row r="57">
          <cell r="A57" t="str">
            <v>D0102</v>
          </cell>
          <cell r="B57" t="str">
            <v>DP01G</v>
          </cell>
          <cell r="C57" t="str">
            <v>DP0</v>
          </cell>
          <cell r="D57" t="str">
            <v>IMTV-AM 2</v>
          </cell>
          <cell r="E57" t="str">
            <v>plv 1x400 g</v>
          </cell>
          <cell r="F57">
            <v>10</v>
          </cell>
          <cell r="G57">
            <v>66074</v>
          </cell>
          <cell r="H57">
            <v>0</v>
          </cell>
          <cell r="I57" t="str">
            <v>3q2007</v>
          </cell>
        </row>
        <row r="58">
          <cell r="A58" t="str">
            <v>D0103</v>
          </cell>
          <cell r="B58" t="str">
            <v>DP01G</v>
          </cell>
          <cell r="C58" t="str">
            <v>DP0</v>
          </cell>
          <cell r="D58" t="str">
            <v>IMTV-AM 3</v>
          </cell>
          <cell r="E58" t="str">
            <v>plv 1x400 g</v>
          </cell>
          <cell r="F58">
            <v>6</v>
          </cell>
          <cell r="G58">
            <v>39644.400000000001</v>
          </cell>
          <cell r="H58">
            <v>0</v>
          </cell>
          <cell r="I58" t="str">
            <v>3q2007</v>
          </cell>
        </row>
        <row r="59">
          <cell r="B59" t="str">
            <v>DP01G Celkom</v>
          </cell>
          <cell r="F59">
            <v>16</v>
          </cell>
          <cell r="G59">
            <v>105718.39999999999</v>
          </cell>
          <cell r="H59">
            <v>0</v>
          </cell>
        </row>
        <row r="60">
          <cell r="A60" t="str">
            <v>D0097</v>
          </cell>
          <cell r="B60" t="str">
            <v>DP01H</v>
          </cell>
          <cell r="C60" t="str">
            <v>DP0</v>
          </cell>
          <cell r="D60" t="str">
            <v>E-AM 2</v>
          </cell>
          <cell r="E60" t="str">
            <v>plv 1x400 g</v>
          </cell>
          <cell r="F60">
            <v>11</v>
          </cell>
          <cell r="G60">
            <v>78575.199999999997</v>
          </cell>
          <cell r="H60">
            <v>0</v>
          </cell>
          <cell r="I60" t="str">
            <v>3q2007</v>
          </cell>
        </row>
        <row r="61">
          <cell r="B61" t="str">
            <v>DP01H Celkom</v>
          </cell>
          <cell r="F61">
            <v>11</v>
          </cell>
          <cell r="G61">
            <v>78575.199999999997</v>
          </cell>
          <cell r="H61">
            <v>0</v>
          </cell>
        </row>
        <row r="62">
          <cell r="A62" t="str">
            <v>D0198</v>
          </cell>
          <cell r="B62" t="str">
            <v>DP01I</v>
          </cell>
          <cell r="C62" t="str">
            <v>DP0</v>
          </cell>
          <cell r="D62" t="str">
            <v>KETOCAL - vanilka</v>
          </cell>
          <cell r="E62" t="str">
            <v>plv 1 x 300 g</v>
          </cell>
          <cell r="F62">
            <v>4</v>
          </cell>
          <cell r="G62">
            <v>6856</v>
          </cell>
          <cell r="H62">
            <v>140</v>
          </cell>
          <cell r="I62" t="str">
            <v>3q2007</v>
          </cell>
        </row>
        <row r="63">
          <cell r="B63" t="str">
            <v>DP01I Celkom</v>
          </cell>
          <cell r="F63">
            <v>4</v>
          </cell>
          <cell r="G63">
            <v>6856</v>
          </cell>
          <cell r="H63">
            <v>140</v>
          </cell>
        </row>
        <row r="64">
          <cell r="A64" t="str">
            <v>D0170</v>
          </cell>
          <cell r="B64" t="str">
            <v>DP01J</v>
          </cell>
          <cell r="C64" t="str">
            <v>DP0</v>
          </cell>
          <cell r="D64" t="str">
            <v>PROMIX-CH, zmes na prípravu bezlepkového chleba</v>
          </cell>
          <cell r="E64" t="str">
            <v>plv 1 x 1000 g</v>
          </cell>
          <cell r="F64">
            <v>11158</v>
          </cell>
          <cell r="G64">
            <v>868602.24</v>
          </cell>
          <cell r="H64">
            <v>356422.66</v>
          </cell>
          <cell r="I64" t="str">
            <v>3q2007</v>
          </cell>
        </row>
        <row r="65">
          <cell r="A65" t="str">
            <v>D0171</v>
          </cell>
          <cell r="B65" t="str">
            <v>DP01J</v>
          </cell>
          <cell r="C65" t="str">
            <v>DP0</v>
          </cell>
          <cell r="D65" t="str">
            <v>PROMIX-PK, zmes na bezlepkové pečivo</v>
          </cell>
          <cell r="E65" t="str">
            <v>plv 1 x 1000 g</v>
          </cell>
          <cell r="F65">
            <v>7344</v>
          </cell>
          <cell r="G65">
            <v>572394.12</v>
          </cell>
          <cell r="H65">
            <v>234897.08</v>
          </cell>
          <cell r="I65" t="str">
            <v>3q2007</v>
          </cell>
        </row>
        <row r="66">
          <cell r="A66" t="str">
            <v>D0172</v>
          </cell>
          <cell r="B66" t="str">
            <v>DP01J</v>
          </cell>
          <cell r="C66" t="str">
            <v>DP0</v>
          </cell>
          <cell r="D66" t="str">
            <v>PROMIX-UNI, univerzálna bezlepková múka</v>
          </cell>
          <cell r="E66" t="str">
            <v>plv 1 x 1000 g</v>
          </cell>
          <cell r="F66">
            <v>12257</v>
          </cell>
          <cell r="G66">
            <v>1222713.8</v>
          </cell>
          <cell r="H66">
            <v>352609</v>
          </cell>
          <cell r="I66" t="str">
            <v>3q2007</v>
          </cell>
        </row>
        <row r="67">
          <cell r="A67" t="str">
            <v>D0173</v>
          </cell>
          <cell r="B67" t="str">
            <v>DP01J</v>
          </cell>
          <cell r="C67" t="str">
            <v>DP0</v>
          </cell>
          <cell r="D67" t="str">
            <v>PROMIX-T, univerzálna bezlepková múka tmavá</v>
          </cell>
          <cell r="E67" t="str">
            <v>plv 1 x 1000 g</v>
          </cell>
          <cell r="F67">
            <v>3829</v>
          </cell>
          <cell r="G67">
            <v>381860.3</v>
          </cell>
          <cell r="H67">
            <v>110292.9</v>
          </cell>
          <cell r="I67" t="str">
            <v>3q2007</v>
          </cell>
        </row>
        <row r="68">
          <cell r="A68" t="str">
            <v>D0175</v>
          </cell>
          <cell r="B68" t="str">
            <v>DP01J</v>
          </cell>
          <cell r="C68" t="str">
            <v>DP0</v>
          </cell>
          <cell r="D68" t="str">
            <v>KRUPICA bezlepková</v>
          </cell>
          <cell r="E68" t="str">
            <v>plv 1 x 500 g</v>
          </cell>
          <cell r="F68">
            <v>1499</v>
          </cell>
          <cell r="G68">
            <v>74888.100000000006</v>
          </cell>
          <cell r="H68">
            <v>78060.600000000006</v>
          </cell>
          <cell r="I68" t="str">
            <v>3q2007</v>
          </cell>
        </row>
        <row r="69">
          <cell r="A69" t="str">
            <v>D0180</v>
          </cell>
          <cell r="B69" t="str">
            <v>DP01J</v>
          </cell>
          <cell r="C69" t="str">
            <v>DP0</v>
          </cell>
          <cell r="D69" t="str">
            <v>PROCEL – bezlepkové cestoviny</v>
          </cell>
          <cell r="E69" t="str">
            <v>1x250 g</v>
          </cell>
          <cell r="F69">
            <v>26948</v>
          </cell>
          <cell r="G69">
            <v>902420.22</v>
          </cell>
          <cell r="H69">
            <v>897153.14</v>
          </cell>
          <cell r="I69" t="str">
            <v>3q2007</v>
          </cell>
        </row>
        <row r="70">
          <cell r="A70" t="str">
            <v>D0185</v>
          </cell>
          <cell r="B70" t="str">
            <v>DP01J</v>
          </cell>
          <cell r="C70" t="str">
            <v>DP0</v>
          </cell>
          <cell r="D70" t="str">
            <v>CHLIEB bezlepkový svetlý (trvanlivý)</v>
          </cell>
          <cell r="E70" t="str">
            <v>1x360 g</v>
          </cell>
          <cell r="F70">
            <v>990</v>
          </cell>
          <cell r="G70">
            <v>46521.599999999999</v>
          </cell>
          <cell r="H70">
            <v>44397.33</v>
          </cell>
          <cell r="I70" t="str">
            <v>3q2007</v>
          </cell>
        </row>
        <row r="71">
          <cell r="A71" t="str">
            <v>D0188</v>
          </cell>
          <cell r="B71" t="str">
            <v>DP01J</v>
          </cell>
          <cell r="C71" t="str">
            <v>DP0</v>
          </cell>
          <cell r="D71" t="str">
            <v>BEZLEPKOVÝ CHLIEB mazanec</v>
          </cell>
          <cell r="E71" t="str">
            <v>1x500 g</v>
          </cell>
          <cell r="F71">
            <v>440</v>
          </cell>
          <cell r="G71">
            <v>17129.099999999999</v>
          </cell>
          <cell r="H71">
            <v>5357</v>
          </cell>
          <cell r="I71" t="str">
            <v>3q2007</v>
          </cell>
        </row>
        <row r="72">
          <cell r="A72" t="str">
            <v>D0189</v>
          </cell>
          <cell r="B72" t="str">
            <v>DP01J</v>
          </cell>
          <cell r="C72" t="str">
            <v>DP0</v>
          </cell>
          <cell r="D72" t="str">
            <v>BEZLEPKOVÝ CHLIEB tmavý</v>
          </cell>
          <cell r="E72" t="str">
            <v>1x500 g</v>
          </cell>
          <cell r="F72">
            <v>1069</v>
          </cell>
          <cell r="G72">
            <v>41512.9</v>
          </cell>
          <cell r="H72">
            <v>12960.2</v>
          </cell>
          <cell r="I72" t="str">
            <v>3q2007</v>
          </cell>
        </row>
        <row r="73">
          <cell r="A73" t="str">
            <v>D0190</v>
          </cell>
          <cell r="B73" t="str">
            <v>DP01J</v>
          </cell>
          <cell r="C73" t="str">
            <v>DP0</v>
          </cell>
          <cell r="D73" t="str">
            <v>BEZLEPKOVÝ CHLIEB svetlý</v>
          </cell>
          <cell r="E73" t="str">
            <v>1x500 g</v>
          </cell>
          <cell r="F73">
            <v>772</v>
          </cell>
          <cell r="G73">
            <v>29632.5</v>
          </cell>
          <cell r="H73">
            <v>9259</v>
          </cell>
          <cell r="I73" t="str">
            <v>3q2007</v>
          </cell>
        </row>
        <row r="74">
          <cell r="A74" t="str">
            <v>D0194</v>
          </cell>
          <cell r="B74" t="str">
            <v>DP01J</v>
          </cell>
          <cell r="C74" t="str">
            <v>DP0</v>
          </cell>
          <cell r="D74" t="str">
            <v>PROMIX-FORTE, silná bezlepková múka</v>
          </cell>
          <cell r="E74" t="str">
            <v>plv 1 x 1000 g</v>
          </cell>
          <cell r="F74">
            <v>3399</v>
          </cell>
          <cell r="G74">
            <v>339521.3</v>
          </cell>
          <cell r="H74">
            <v>201785.5</v>
          </cell>
          <cell r="I74" t="str">
            <v>3q2007</v>
          </cell>
        </row>
        <row r="75">
          <cell r="A75" t="str">
            <v>D0251</v>
          </cell>
          <cell r="B75" t="str">
            <v>DP01J</v>
          </cell>
          <cell r="C75" t="str">
            <v>DP0</v>
          </cell>
          <cell r="D75" t="str">
            <v>Chlieb bezlepkový tmavý (trvanlivý)</v>
          </cell>
          <cell r="E75" t="str">
            <v>1x360 g</v>
          </cell>
          <cell r="F75">
            <v>788</v>
          </cell>
          <cell r="G75">
            <v>36507.800000000003</v>
          </cell>
          <cell r="H75">
            <v>35484.699999999997</v>
          </cell>
          <cell r="I75" t="str">
            <v>3q2007</v>
          </cell>
        </row>
        <row r="76">
          <cell r="A76" t="str">
            <v>D0252</v>
          </cell>
          <cell r="B76" t="str">
            <v>DP01J</v>
          </cell>
          <cell r="C76" t="str">
            <v>DP0</v>
          </cell>
          <cell r="D76" t="str">
            <v>Limky -diétne keksy vanilkové máčané (bezlepkové)</v>
          </cell>
          <cell r="E76" t="str">
            <v>1x150 g</v>
          </cell>
          <cell r="F76">
            <v>515</v>
          </cell>
          <cell r="G76">
            <v>3229.3</v>
          </cell>
          <cell r="H76">
            <v>27793.3</v>
          </cell>
          <cell r="I76" t="str">
            <v>3q2007</v>
          </cell>
        </row>
        <row r="77">
          <cell r="A77" t="str">
            <v>D0253</v>
          </cell>
          <cell r="B77" t="str">
            <v>DP01J</v>
          </cell>
          <cell r="C77" t="str">
            <v>DP0</v>
          </cell>
          <cell r="D77" t="str">
            <v>Limky -diétne keksy kakaové plnené (bezlepkové)</v>
          </cell>
          <cell r="E77" t="str">
            <v>1x150 g</v>
          </cell>
          <cell r="F77">
            <v>792</v>
          </cell>
          <cell r="G77">
            <v>4988.3</v>
          </cell>
          <cell r="H77">
            <v>43467.8</v>
          </cell>
          <cell r="I77" t="str">
            <v>3q2007</v>
          </cell>
        </row>
        <row r="78">
          <cell r="A78" t="str">
            <v>D0254</v>
          </cell>
          <cell r="B78" t="str">
            <v>DP01J</v>
          </cell>
          <cell r="C78" t="str">
            <v>DP0</v>
          </cell>
          <cell r="D78" t="str">
            <v>Strúhanka bezlepková pečivová</v>
          </cell>
          <cell r="E78" t="str">
            <v>plv 1x350 g</v>
          </cell>
          <cell r="F78">
            <v>2914</v>
          </cell>
          <cell r="G78">
            <v>101795.3</v>
          </cell>
          <cell r="H78">
            <v>138162.39000000001</v>
          </cell>
          <cell r="I78" t="str">
            <v>3q2007</v>
          </cell>
        </row>
        <row r="79">
          <cell r="A79" t="str">
            <v>D0256</v>
          </cell>
          <cell r="B79" t="str">
            <v>DP01J</v>
          </cell>
          <cell r="C79" t="str">
            <v>DP0</v>
          </cell>
          <cell r="D79" t="str">
            <v>Cícerová múka instantná</v>
          </cell>
          <cell r="E79" t="str">
            <v>plv 1x500 g</v>
          </cell>
          <cell r="F79">
            <v>28</v>
          </cell>
          <cell r="G79">
            <v>1085.5999999999999</v>
          </cell>
          <cell r="H79">
            <v>1196.9000000000001</v>
          </cell>
          <cell r="I79" t="str">
            <v>3q2007</v>
          </cell>
        </row>
        <row r="80">
          <cell r="A80" t="str">
            <v>D0271</v>
          </cell>
          <cell r="B80" t="str">
            <v>DP01J</v>
          </cell>
          <cell r="C80" t="str">
            <v>DP0</v>
          </cell>
          <cell r="D80" t="str">
            <v>Linia natural</v>
          </cell>
          <cell r="E80" t="str">
            <v>375 g</v>
          </cell>
          <cell r="F80">
            <v>75</v>
          </cell>
          <cell r="G80">
            <v>3596.4</v>
          </cell>
          <cell r="H80">
            <v>2697.2</v>
          </cell>
          <cell r="I80" t="str">
            <v>3q2007</v>
          </cell>
        </row>
        <row r="81">
          <cell r="A81" t="str">
            <v>D0272</v>
          </cell>
          <cell r="B81" t="str">
            <v>DP01J</v>
          </cell>
          <cell r="C81" t="str">
            <v>DP0</v>
          </cell>
          <cell r="D81" t="str">
            <v>Knedľa bezlepková v prášku</v>
          </cell>
          <cell r="E81" t="str">
            <v>250 g</v>
          </cell>
          <cell r="F81">
            <v>487</v>
          </cell>
          <cell r="G81">
            <v>9453.4</v>
          </cell>
          <cell r="H81">
            <v>8058.1</v>
          </cell>
          <cell r="I81" t="str">
            <v>3q2007</v>
          </cell>
        </row>
        <row r="82">
          <cell r="A82" t="str">
            <v>D0289</v>
          </cell>
          <cell r="B82" t="str">
            <v>DP01J</v>
          </cell>
          <cell r="C82" t="str">
            <v>DP0</v>
          </cell>
          <cell r="D82" t="str">
            <v>Bezgluténové musli</v>
          </cell>
          <cell r="E82" t="str">
            <v>375 g</v>
          </cell>
          <cell r="F82">
            <v>184</v>
          </cell>
          <cell r="G82">
            <v>2708.3</v>
          </cell>
          <cell r="H82">
            <v>24469.5</v>
          </cell>
          <cell r="I82" t="str">
            <v>3q2007</v>
          </cell>
        </row>
        <row r="83">
          <cell r="A83" t="str">
            <v>D0290</v>
          </cell>
          <cell r="B83" t="str">
            <v>DP01J</v>
          </cell>
          <cell r="C83" t="str">
            <v>DP0</v>
          </cell>
          <cell r="D83" t="str">
            <v>Pan Carré - bezlepkový biely chlieb</v>
          </cell>
          <cell r="E83" t="str">
            <v>400 g</v>
          </cell>
          <cell r="F83">
            <v>2397</v>
          </cell>
          <cell r="G83">
            <v>117494.2</v>
          </cell>
          <cell r="H83">
            <v>150505.29999999999</v>
          </cell>
          <cell r="I83" t="str">
            <v>3q2007</v>
          </cell>
        </row>
        <row r="84">
          <cell r="A84" t="str">
            <v>D0291</v>
          </cell>
          <cell r="B84" t="str">
            <v>DP01J</v>
          </cell>
          <cell r="C84" t="str">
            <v>DP0</v>
          </cell>
          <cell r="D84" t="str">
            <v>Rustico - bezlepkový plnozrnný chlieb</v>
          </cell>
          <cell r="E84" t="str">
            <v>400 g</v>
          </cell>
          <cell r="F84">
            <v>972</v>
          </cell>
          <cell r="G84">
            <v>47839.6</v>
          </cell>
          <cell r="H84">
            <v>72626.100000000006</v>
          </cell>
          <cell r="I84" t="str">
            <v>3q2007</v>
          </cell>
        </row>
        <row r="85">
          <cell r="A85" t="str">
            <v>D0292</v>
          </cell>
          <cell r="B85" t="str">
            <v>DP01J</v>
          </cell>
          <cell r="C85" t="str">
            <v>DP0</v>
          </cell>
          <cell r="D85" t="str">
            <v>Panini - bezlepkové biele žemle</v>
          </cell>
          <cell r="E85" t="str">
            <v>200 g</v>
          </cell>
          <cell r="F85">
            <v>1589</v>
          </cell>
          <cell r="G85">
            <v>38864.6</v>
          </cell>
          <cell r="H85">
            <v>81972.399999999994</v>
          </cell>
          <cell r="I85" t="str">
            <v>3q2007</v>
          </cell>
        </row>
        <row r="86">
          <cell r="A86" t="str">
            <v>D0293</v>
          </cell>
          <cell r="B86" t="str">
            <v>DP01J</v>
          </cell>
          <cell r="C86" t="str">
            <v>DP0</v>
          </cell>
          <cell r="D86" t="str">
            <v>Bon Matin - bezlepkové sladké žemle</v>
          </cell>
          <cell r="E86" t="str">
            <v>200 g</v>
          </cell>
          <cell r="F86">
            <v>2011</v>
          </cell>
          <cell r="G86">
            <v>49301.9</v>
          </cell>
          <cell r="H86">
            <v>127566</v>
          </cell>
          <cell r="I86" t="str">
            <v>3q2007</v>
          </cell>
        </row>
        <row r="87">
          <cell r="A87" t="str">
            <v>D0294</v>
          </cell>
          <cell r="B87" t="str">
            <v>DP01J</v>
          </cell>
          <cell r="C87" t="str">
            <v>DP0</v>
          </cell>
          <cell r="D87" t="str">
            <v>Spaghetti - bezlepkové cestoviny</v>
          </cell>
          <cell r="E87" t="str">
            <v>500 g</v>
          </cell>
          <cell r="F87">
            <v>821</v>
          </cell>
          <cell r="G87">
            <v>50479.8</v>
          </cell>
          <cell r="H87">
            <v>54201</v>
          </cell>
          <cell r="I87" t="str">
            <v>3q2007</v>
          </cell>
        </row>
        <row r="88">
          <cell r="A88" t="str">
            <v>D0295</v>
          </cell>
          <cell r="B88" t="str">
            <v>DP01J</v>
          </cell>
          <cell r="C88" t="str">
            <v>DP0</v>
          </cell>
          <cell r="D88" t="str">
            <v>Fusilli - bezlepkové cestoviny</v>
          </cell>
          <cell r="E88" t="str">
            <v>500 g</v>
          </cell>
          <cell r="F88">
            <v>670</v>
          </cell>
          <cell r="G88">
            <v>41038.5</v>
          </cell>
          <cell r="H88">
            <v>44262.2</v>
          </cell>
          <cell r="I88" t="str">
            <v>3q2007</v>
          </cell>
        </row>
        <row r="89">
          <cell r="A89" t="str">
            <v>D0296</v>
          </cell>
          <cell r="B89" t="str">
            <v>DP01J</v>
          </cell>
          <cell r="C89" t="str">
            <v>DP0</v>
          </cell>
          <cell r="D89" t="str">
            <v>Quadritos - bezlepkové kakaové oblátky</v>
          </cell>
          <cell r="E89" t="str">
            <v>40 g</v>
          </cell>
          <cell r="F89">
            <v>229</v>
          </cell>
          <cell r="G89">
            <v>877.4</v>
          </cell>
          <cell r="H89">
            <v>7941.7</v>
          </cell>
          <cell r="I89" t="str">
            <v>3q2007</v>
          </cell>
        </row>
        <row r="90">
          <cell r="A90" t="str">
            <v>D0297</v>
          </cell>
          <cell r="B90" t="str">
            <v>DP01J</v>
          </cell>
          <cell r="C90" t="str">
            <v>DP0</v>
          </cell>
          <cell r="D90" t="str">
            <v>Salinis - bezlepkové praclíky</v>
          </cell>
          <cell r="E90" t="str">
            <v>60 g</v>
          </cell>
          <cell r="F90">
            <v>623</v>
          </cell>
          <cell r="G90">
            <v>2486.8000000000002</v>
          </cell>
          <cell r="H90">
            <v>22642.799999999999</v>
          </cell>
          <cell r="I90" t="str">
            <v>3q2007</v>
          </cell>
        </row>
        <row r="91">
          <cell r="A91" t="str">
            <v>D0298</v>
          </cell>
          <cell r="B91" t="str">
            <v>DP01J</v>
          </cell>
          <cell r="C91" t="str">
            <v>DP0</v>
          </cell>
          <cell r="D91" t="str">
            <v>Mix B - bezlepková zmes na prípravu chleba</v>
          </cell>
          <cell r="E91" t="str">
            <v>1000 g</v>
          </cell>
          <cell r="F91">
            <v>1289</v>
          </cell>
          <cell r="G91">
            <v>91889.5</v>
          </cell>
          <cell r="H91">
            <v>108921.8</v>
          </cell>
          <cell r="I91" t="str">
            <v>3q2007</v>
          </cell>
        </row>
        <row r="92">
          <cell r="A92" t="str">
            <v>D0299</v>
          </cell>
          <cell r="B92" t="str">
            <v>DP01J</v>
          </cell>
          <cell r="C92" t="str">
            <v>DP0</v>
          </cell>
          <cell r="D92" t="str">
            <v>Bezlepkové sušienky</v>
          </cell>
          <cell r="E92" t="str">
            <v>350 g</v>
          </cell>
          <cell r="F92">
            <v>127</v>
          </cell>
          <cell r="G92">
            <v>564</v>
          </cell>
          <cell r="H92">
            <v>5118.1000000000004</v>
          </cell>
          <cell r="I92" t="str">
            <v>3q2007</v>
          </cell>
        </row>
        <row r="93">
          <cell r="B93" t="str">
            <v>DP01J Celkom</v>
          </cell>
          <cell r="F93">
            <v>86216</v>
          </cell>
          <cell r="G93">
            <v>5101396.88</v>
          </cell>
          <cell r="H93">
            <v>3260281.7</v>
          </cell>
        </row>
        <row r="94">
          <cell r="A94" t="str">
            <v>D0002</v>
          </cell>
          <cell r="B94" t="str">
            <v>DP02A</v>
          </cell>
          <cell r="C94" t="str">
            <v>DP0</v>
          </cell>
          <cell r="D94" t="str">
            <v>ENSURE, čokoládová príchuť</v>
          </cell>
          <cell r="E94" t="str">
            <v>sol 1x250 ml</v>
          </cell>
          <cell r="F94">
            <v>0</v>
          </cell>
          <cell r="G94">
            <v>0</v>
          </cell>
          <cell r="H94">
            <v>2832</v>
          </cell>
          <cell r="I94" t="str">
            <v>3q2007</v>
          </cell>
        </row>
        <row r="95">
          <cell r="A95" t="str">
            <v>D0025</v>
          </cell>
          <cell r="B95" t="str">
            <v>DP02A</v>
          </cell>
          <cell r="C95" t="str">
            <v>DP0</v>
          </cell>
          <cell r="D95" t="str">
            <v>FRESUBIN ORIGINAL, príchuť neutrálna</v>
          </cell>
          <cell r="E95" t="str">
            <v>sol 1x500 ml</v>
          </cell>
          <cell r="F95">
            <v>573</v>
          </cell>
          <cell r="G95">
            <v>50997.599999999999</v>
          </cell>
          <cell r="H95">
            <v>0</v>
          </cell>
          <cell r="I95" t="str">
            <v>3q2007</v>
          </cell>
        </row>
        <row r="96">
          <cell r="A96" t="str">
            <v>D0026</v>
          </cell>
          <cell r="B96" t="str">
            <v>DP02A</v>
          </cell>
          <cell r="C96" t="str">
            <v>DP0</v>
          </cell>
          <cell r="D96" t="str">
            <v>FRESUBIN ORIGINAL, príchuť oriešková</v>
          </cell>
          <cell r="E96" t="str">
            <v>sol 1x500 ml</v>
          </cell>
          <cell r="F96">
            <v>224</v>
          </cell>
          <cell r="G96">
            <v>19822.3</v>
          </cell>
          <cell r="H96">
            <v>0</v>
          </cell>
          <cell r="I96" t="str">
            <v>3q2007</v>
          </cell>
        </row>
        <row r="97">
          <cell r="A97" t="str">
            <v>D0027</v>
          </cell>
          <cell r="B97" t="str">
            <v>DP02A</v>
          </cell>
          <cell r="C97" t="str">
            <v>DP0</v>
          </cell>
          <cell r="D97" t="str">
            <v>FRESUBIN ORIGINAL, príchuť čokoládová</v>
          </cell>
          <cell r="E97" t="str">
            <v>sol 1x500 ml</v>
          </cell>
          <cell r="F97">
            <v>817</v>
          </cell>
          <cell r="G97">
            <v>72415.600000000006</v>
          </cell>
          <cell r="H97">
            <v>0</v>
          </cell>
          <cell r="I97" t="str">
            <v>3q2007</v>
          </cell>
        </row>
        <row r="98">
          <cell r="A98" t="str">
            <v>D0028</v>
          </cell>
          <cell r="B98" t="str">
            <v>DP02A</v>
          </cell>
          <cell r="C98" t="str">
            <v>DP0</v>
          </cell>
          <cell r="D98" t="str">
            <v>FRESUBIN ORIGINAL, príchuť vanilková</v>
          </cell>
          <cell r="E98" t="str">
            <v>sol 1x500 ml</v>
          </cell>
          <cell r="F98">
            <v>430</v>
          </cell>
          <cell r="G98">
            <v>37700.300000000003</v>
          </cell>
          <cell r="H98">
            <v>0</v>
          </cell>
          <cell r="I98" t="str">
            <v>3q2007</v>
          </cell>
        </row>
        <row r="99">
          <cell r="A99" t="str">
            <v>D0029</v>
          </cell>
          <cell r="B99" t="str">
            <v>DP02A</v>
          </cell>
          <cell r="C99" t="str">
            <v>DP0</v>
          </cell>
          <cell r="D99" t="str">
            <v>FRESUBIN ORIGINAL, príchuť broskyňová</v>
          </cell>
          <cell r="E99" t="str">
            <v>sol 1x500 ml</v>
          </cell>
          <cell r="F99">
            <v>162</v>
          </cell>
          <cell r="G99">
            <v>12010.7</v>
          </cell>
          <cell r="H99">
            <v>0</v>
          </cell>
          <cell r="I99" t="str">
            <v>3q2007</v>
          </cell>
        </row>
        <row r="100">
          <cell r="A100" t="str">
            <v>D0030</v>
          </cell>
          <cell r="B100" t="str">
            <v>DP02A</v>
          </cell>
          <cell r="C100" t="str">
            <v>DP0</v>
          </cell>
          <cell r="D100" t="str">
            <v>FRESUBIN ORIGINAL DRINK, príchuť oriešková</v>
          </cell>
          <cell r="E100" t="str">
            <v>sol 1x200 ml</v>
          </cell>
          <cell r="F100">
            <v>232</v>
          </cell>
          <cell r="G100">
            <v>8183</v>
          </cell>
          <cell r="H100">
            <v>23.2</v>
          </cell>
          <cell r="I100" t="str">
            <v>3q2007</v>
          </cell>
        </row>
        <row r="101">
          <cell r="A101" t="str">
            <v>D0031</v>
          </cell>
          <cell r="B101" t="str">
            <v>DP02A</v>
          </cell>
          <cell r="C101" t="str">
            <v>DP0</v>
          </cell>
          <cell r="D101" t="str">
            <v>FRESUBIN ORIGINAL DRINK, príchuť čokoládová</v>
          </cell>
          <cell r="E101" t="str">
            <v>sol 1x200 ml</v>
          </cell>
          <cell r="F101">
            <v>1084</v>
          </cell>
          <cell r="G101">
            <v>38553.4</v>
          </cell>
          <cell r="H101">
            <v>108.4</v>
          </cell>
          <cell r="I101" t="str">
            <v>3q2007</v>
          </cell>
        </row>
        <row r="102">
          <cell r="A102" t="str">
            <v>D0032</v>
          </cell>
          <cell r="B102" t="str">
            <v>DP02A</v>
          </cell>
          <cell r="C102" t="str">
            <v>DP0</v>
          </cell>
          <cell r="D102" t="str">
            <v>FRESUBIN ORIGINAL DRINK, príchuť vanilková</v>
          </cell>
          <cell r="E102" t="str">
            <v>sol 1x200 ml</v>
          </cell>
          <cell r="F102">
            <v>1347</v>
          </cell>
          <cell r="G102">
            <v>47946.8</v>
          </cell>
          <cell r="H102">
            <v>134.69999999999999</v>
          </cell>
          <cell r="I102" t="str">
            <v>3q2007</v>
          </cell>
        </row>
        <row r="103">
          <cell r="A103" t="str">
            <v>D0033</v>
          </cell>
          <cell r="B103" t="str">
            <v>DP02A</v>
          </cell>
          <cell r="C103" t="str">
            <v>DP0</v>
          </cell>
          <cell r="D103" t="str">
            <v>FRESUBIN ORIGINAL DRINK, príchuť broskyňová</v>
          </cell>
          <cell r="E103" t="str">
            <v>sol 1x200 ml</v>
          </cell>
          <cell r="F103">
            <v>1325</v>
          </cell>
          <cell r="G103">
            <v>46458</v>
          </cell>
          <cell r="H103">
            <v>132.5</v>
          </cell>
          <cell r="I103" t="str">
            <v>3q2007</v>
          </cell>
        </row>
        <row r="104">
          <cell r="A104" t="str">
            <v>D0034</v>
          </cell>
          <cell r="B104" t="str">
            <v>DP02A</v>
          </cell>
          <cell r="C104" t="str">
            <v>DP0</v>
          </cell>
          <cell r="D104" t="str">
            <v>FRESUBIN ORIGINAL DRINK, príchuť lesné plody</v>
          </cell>
          <cell r="E104" t="str">
            <v>sol 1x200 ml</v>
          </cell>
          <cell r="F104">
            <v>74</v>
          </cell>
          <cell r="G104">
            <v>2621.8</v>
          </cell>
          <cell r="H104">
            <v>7.4</v>
          </cell>
          <cell r="I104" t="str">
            <v>3q2007</v>
          </cell>
        </row>
        <row r="105">
          <cell r="A105" t="str">
            <v>D0069</v>
          </cell>
          <cell r="B105" t="str">
            <v>DP02A</v>
          </cell>
          <cell r="C105" t="str">
            <v>DP0</v>
          </cell>
          <cell r="D105" t="str">
            <v>NUTRINI</v>
          </cell>
          <cell r="E105" t="str">
            <v>sol 1x200 ml</v>
          </cell>
          <cell r="F105">
            <v>1763</v>
          </cell>
          <cell r="G105">
            <v>66164.600000000006</v>
          </cell>
          <cell r="H105">
            <v>25090.9</v>
          </cell>
          <cell r="I105" t="str">
            <v>3q2007</v>
          </cell>
        </row>
        <row r="106">
          <cell r="A106" t="str">
            <v>D0071</v>
          </cell>
          <cell r="B106" t="str">
            <v>DP02A</v>
          </cell>
          <cell r="C106" t="str">
            <v>DP0</v>
          </cell>
          <cell r="D106" t="str">
            <v>NUTRISON STANDARD</v>
          </cell>
          <cell r="E106" t="str">
            <v>sol 1x500 ml</v>
          </cell>
          <cell r="F106">
            <v>4328</v>
          </cell>
          <cell r="G106">
            <v>381135.8</v>
          </cell>
          <cell r="H106">
            <v>34607.9</v>
          </cell>
          <cell r="I106" t="str">
            <v>3q2007</v>
          </cell>
        </row>
        <row r="107">
          <cell r="A107" t="str">
            <v>D0072</v>
          </cell>
          <cell r="B107" t="str">
            <v>DP02A</v>
          </cell>
          <cell r="C107" t="str">
            <v>DP0</v>
          </cell>
          <cell r="D107" t="str">
            <v>NUTRISON POWDER</v>
          </cell>
          <cell r="E107" t="str">
            <v>plv 1x430 g</v>
          </cell>
          <cell r="F107">
            <v>2645</v>
          </cell>
          <cell r="G107">
            <v>554740</v>
          </cell>
          <cell r="H107">
            <v>27252.3</v>
          </cell>
          <cell r="I107" t="str">
            <v>3q2007</v>
          </cell>
        </row>
        <row r="108">
          <cell r="A108" t="str">
            <v>D0238</v>
          </cell>
          <cell r="B108" t="str">
            <v>DP02A</v>
          </cell>
          <cell r="C108" t="str">
            <v>DP0</v>
          </cell>
          <cell r="D108" t="str">
            <v>Clinutren OPTIMUM VANILLA</v>
          </cell>
          <cell r="E108" t="str">
            <v>plv 1x400 g</v>
          </cell>
          <cell r="F108">
            <v>36</v>
          </cell>
          <cell r="G108">
            <v>6989.3</v>
          </cell>
          <cell r="H108">
            <v>1934.8</v>
          </cell>
          <cell r="I108" t="str">
            <v>3q2007</v>
          </cell>
        </row>
        <row r="109">
          <cell r="A109" t="str">
            <v>D0241</v>
          </cell>
          <cell r="B109" t="str">
            <v>DP02A</v>
          </cell>
          <cell r="C109" t="str">
            <v>DP0</v>
          </cell>
          <cell r="D109" t="str">
            <v>Clinutren JUNIOR VANILLA</v>
          </cell>
          <cell r="E109" t="str">
            <v>plv 1x400 g</v>
          </cell>
          <cell r="F109">
            <v>17</v>
          </cell>
          <cell r="G109">
            <v>3296.1</v>
          </cell>
          <cell r="H109">
            <v>4413.8</v>
          </cell>
          <cell r="I109" t="str">
            <v>3q2007</v>
          </cell>
        </row>
        <row r="110">
          <cell r="A110" t="str">
            <v>D0300</v>
          </cell>
          <cell r="B110" t="str">
            <v>DP02A</v>
          </cell>
          <cell r="C110" t="str">
            <v>DP0</v>
          </cell>
          <cell r="D110" t="str">
            <v>Osmeral basic</v>
          </cell>
          <cell r="E110" t="str">
            <v>plv 2x325 g</v>
          </cell>
          <cell r="F110">
            <v>11</v>
          </cell>
          <cell r="G110">
            <v>3500.1</v>
          </cell>
          <cell r="H110">
            <v>19.8</v>
          </cell>
          <cell r="I110" t="str">
            <v>3q2007</v>
          </cell>
        </row>
        <row r="111">
          <cell r="A111" t="str">
            <v>D0301</v>
          </cell>
          <cell r="B111" t="str">
            <v>DP02A</v>
          </cell>
          <cell r="C111" t="str">
            <v>DP0</v>
          </cell>
          <cell r="D111" t="str">
            <v>OSMERAL SN neutral</v>
          </cell>
          <cell r="E111" t="str">
            <v>sol 1x500 ml</v>
          </cell>
          <cell r="F111">
            <v>36</v>
          </cell>
          <cell r="G111">
            <v>3207.6</v>
          </cell>
          <cell r="H111">
            <v>1184.4000000000001</v>
          </cell>
          <cell r="I111" t="str">
            <v>3q2007</v>
          </cell>
        </row>
        <row r="112">
          <cell r="A112" t="str">
            <v>D0302</v>
          </cell>
          <cell r="B112" t="str">
            <v>DP02A</v>
          </cell>
          <cell r="C112" t="str">
            <v>DP0</v>
          </cell>
          <cell r="D112" t="str">
            <v>OSMERAL SN malina</v>
          </cell>
          <cell r="E112" t="str">
            <v>sol 1x500 ml</v>
          </cell>
          <cell r="F112">
            <v>44</v>
          </cell>
          <cell r="G112">
            <v>3920.4</v>
          </cell>
          <cell r="H112">
            <v>1447.6</v>
          </cell>
          <cell r="I112" t="str">
            <v>3q2007</v>
          </cell>
        </row>
        <row r="113">
          <cell r="A113" t="str">
            <v>D0303</v>
          </cell>
          <cell r="B113" t="str">
            <v>DP02A</v>
          </cell>
          <cell r="C113" t="str">
            <v>DP0</v>
          </cell>
          <cell r="D113" t="str">
            <v>OSMERAL SN banán</v>
          </cell>
          <cell r="E113" t="str">
            <v>sol 1x500 ml</v>
          </cell>
          <cell r="F113">
            <v>36</v>
          </cell>
          <cell r="G113">
            <v>2313.6</v>
          </cell>
          <cell r="H113">
            <v>1183.4000000000001</v>
          </cell>
          <cell r="I113" t="str">
            <v>3q2007</v>
          </cell>
        </row>
        <row r="114">
          <cell r="B114" t="str">
            <v>DP02A Celkom</v>
          </cell>
          <cell r="F114">
            <v>15184</v>
          </cell>
          <cell r="G114">
            <v>1361977.0000000002</v>
          </cell>
          <cell r="H114">
            <v>100373.1</v>
          </cell>
        </row>
        <row r="115">
          <cell r="A115" t="str">
            <v>D0035</v>
          </cell>
          <cell r="B115" t="str">
            <v>DP02B</v>
          </cell>
          <cell r="C115" t="str">
            <v>DP0</v>
          </cell>
          <cell r="D115" t="str">
            <v>FRESUBIN ORIGINAL FIBRE, príchuť neutrálna</v>
          </cell>
          <cell r="E115" t="str">
            <v>sol 1x500 ml</v>
          </cell>
          <cell r="F115">
            <v>16</v>
          </cell>
          <cell r="G115">
            <v>1398.4</v>
          </cell>
          <cell r="H115">
            <v>465.6</v>
          </cell>
          <cell r="I115" t="str">
            <v>3q2007</v>
          </cell>
        </row>
        <row r="116">
          <cell r="A116" t="str">
            <v>D0201</v>
          </cell>
          <cell r="B116" t="str">
            <v>DP02B</v>
          </cell>
          <cell r="C116" t="str">
            <v>DP0</v>
          </cell>
          <cell r="D116" t="str">
            <v>NUTRISON MULTIFIBRE</v>
          </cell>
          <cell r="E116" t="str">
            <v>sol 1x1000 ml</v>
          </cell>
          <cell r="F116">
            <v>267</v>
          </cell>
          <cell r="G116">
            <v>46944.3</v>
          </cell>
          <cell r="H116">
            <v>30845.7</v>
          </cell>
          <cell r="I116" t="str">
            <v>3q2007</v>
          </cell>
        </row>
        <row r="117">
          <cell r="A117" t="str">
            <v>D0239</v>
          </cell>
          <cell r="B117" t="str">
            <v>DP02B</v>
          </cell>
          <cell r="C117" t="str">
            <v>DP0</v>
          </cell>
          <cell r="D117" t="str">
            <v>Clinutren FIBRE VANILLA</v>
          </cell>
          <cell r="E117" t="str">
            <v>plv 1x400 g</v>
          </cell>
          <cell r="F117">
            <v>32</v>
          </cell>
          <cell r="G117">
            <v>9429.2000000000007</v>
          </cell>
          <cell r="H117">
            <v>2193.6999999999998</v>
          </cell>
          <cell r="I117" t="str">
            <v>3q2007</v>
          </cell>
        </row>
        <row r="118">
          <cell r="A118" t="str">
            <v>D0304</v>
          </cell>
          <cell r="B118" t="str">
            <v>DP02B</v>
          </cell>
          <cell r="C118" t="str">
            <v>DP0</v>
          </cell>
          <cell r="D118" t="str">
            <v>Osmeral BS</v>
          </cell>
          <cell r="E118" t="str">
            <v>sol 1x500 ml</v>
          </cell>
          <cell r="F118">
            <v>30</v>
          </cell>
          <cell r="G118">
            <v>2673</v>
          </cell>
          <cell r="H118">
            <v>987</v>
          </cell>
          <cell r="I118" t="str">
            <v>3q2007</v>
          </cell>
        </row>
        <row r="119">
          <cell r="A119" t="str">
            <v>D0305</v>
          </cell>
          <cell r="B119" t="str">
            <v>DP02B</v>
          </cell>
          <cell r="C119" t="str">
            <v>DP0</v>
          </cell>
          <cell r="D119" t="str">
            <v>Osmeral CS instant</v>
          </cell>
          <cell r="E119" t="str">
            <v>plv 2x177 g</v>
          </cell>
          <cell r="F119">
            <v>13</v>
          </cell>
          <cell r="G119">
            <v>3564.6</v>
          </cell>
          <cell r="H119">
            <v>75.400000000000006</v>
          </cell>
          <cell r="I119" t="str">
            <v>3q2007</v>
          </cell>
        </row>
        <row r="120">
          <cell r="B120" t="str">
            <v>DP02B Celkom</v>
          </cell>
          <cell r="F120">
            <v>358</v>
          </cell>
          <cell r="G120">
            <v>64009.500000000007</v>
          </cell>
          <cell r="H120">
            <v>34567.4</v>
          </cell>
        </row>
        <row r="121">
          <cell r="A121" t="str">
            <v>D0012</v>
          </cell>
          <cell r="B121" t="str">
            <v>DP02C</v>
          </cell>
          <cell r="C121" t="str">
            <v>DP0</v>
          </cell>
          <cell r="D121" t="str">
            <v>ENSURE PLUS, vanilková príchuť</v>
          </cell>
          <cell r="E121" t="str">
            <v>sol 1x200 ml</v>
          </cell>
          <cell r="F121">
            <v>34373</v>
          </cell>
          <cell r="G121">
            <v>1623752.6</v>
          </cell>
          <cell r="H121">
            <v>0</v>
          </cell>
          <cell r="I121" t="str">
            <v>3q2007</v>
          </cell>
        </row>
        <row r="122">
          <cell r="A122" t="str">
            <v>D0013</v>
          </cell>
          <cell r="B122" t="str">
            <v>DP02C</v>
          </cell>
          <cell r="C122" t="str">
            <v>DP0</v>
          </cell>
          <cell r="D122" t="str">
            <v>ENSURE PLUS, čokoládová príchuť</v>
          </cell>
          <cell r="E122" t="str">
            <v>sol 1x200 ml</v>
          </cell>
          <cell r="F122">
            <v>111746</v>
          </cell>
          <cell r="G122">
            <v>5278788.4000000004</v>
          </cell>
          <cell r="H122">
            <v>4</v>
          </cell>
          <cell r="I122" t="str">
            <v>3q2007</v>
          </cell>
        </row>
        <row r="123">
          <cell r="A123" t="str">
            <v>D0014</v>
          </cell>
          <cell r="B123" t="str">
            <v>DP02C</v>
          </cell>
          <cell r="C123" t="str">
            <v>DP0</v>
          </cell>
          <cell r="D123" t="str">
            <v>ENSURE PLUS, bez príchute</v>
          </cell>
          <cell r="E123" t="str">
            <v>sol 1x200 ml</v>
          </cell>
          <cell r="F123">
            <v>29823</v>
          </cell>
          <cell r="G123">
            <v>1392809.7</v>
          </cell>
          <cell r="H123">
            <v>0</v>
          </cell>
          <cell r="I123" t="str">
            <v>3q2007</v>
          </cell>
        </row>
        <row r="124">
          <cell r="A124" t="str">
            <v>D0015</v>
          </cell>
          <cell r="B124" t="str">
            <v>DP02C</v>
          </cell>
          <cell r="C124" t="str">
            <v>DP0</v>
          </cell>
          <cell r="D124" t="str">
            <v>ENSURE PLUS, karamelová príchuť</v>
          </cell>
          <cell r="E124" t="str">
            <v>sol 1x200 ml</v>
          </cell>
          <cell r="F124">
            <v>42447</v>
          </cell>
          <cell r="G124">
            <v>2001657.1</v>
          </cell>
          <cell r="H124">
            <v>26</v>
          </cell>
          <cell r="I124" t="str">
            <v>3q2007</v>
          </cell>
        </row>
        <row r="125">
          <cell r="A125" t="str">
            <v>D0016</v>
          </cell>
          <cell r="B125" t="str">
            <v>DP02C</v>
          </cell>
          <cell r="C125" t="str">
            <v>DP0</v>
          </cell>
          <cell r="D125" t="str">
            <v>ENSURE PLUS, príchuť lesného ovocia</v>
          </cell>
          <cell r="E125" t="str">
            <v>sol 1x200 ml</v>
          </cell>
          <cell r="F125">
            <v>50010</v>
          </cell>
          <cell r="G125">
            <v>2357261.4</v>
          </cell>
          <cell r="H125">
            <v>0</v>
          </cell>
          <cell r="I125" t="str">
            <v>3q2007</v>
          </cell>
        </row>
        <row r="126">
          <cell r="A126" t="str">
            <v>D0017</v>
          </cell>
          <cell r="B126" t="str">
            <v>DP02C</v>
          </cell>
          <cell r="C126" t="str">
            <v>DP0</v>
          </cell>
          <cell r="D126" t="str">
            <v>FRESUBIN HP ENERGY, príchuť neutrálna</v>
          </cell>
          <cell r="E126" t="str">
            <v>sol 1x500 ml</v>
          </cell>
          <cell r="F126">
            <v>10</v>
          </cell>
          <cell r="G126">
            <v>1171</v>
          </cell>
          <cell r="H126">
            <v>921</v>
          </cell>
          <cell r="I126" t="str">
            <v>3q2007</v>
          </cell>
        </row>
        <row r="127">
          <cell r="A127" t="str">
            <v>D0019</v>
          </cell>
          <cell r="B127" t="str">
            <v>DP02C</v>
          </cell>
          <cell r="C127" t="str">
            <v>DP0</v>
          </cell>
          <cell r="D127" t="str">
            <v>FRESUBIN ENERGY DRINK, príchuť vanilková</v>
          </cell>
          <cell r="E127" t="str">
            <v>sol 1x200 ml</v>
          </cell>
          <cell r="F127">
            <v>95</v>
          </cell>
          <cell r="G127">
            <v>3063</v>
          </cell>
          <cell r="H127">
            <v>923.5</v>
          </cell>
          <cell r="I127" t="str">
            <v>3q2007</v>
          </cell>
        </row>
        <row r="128">
          <cell r="A128" t="str">
            <v>D0077</v>
          </cell>
          <cell r="B128" t="str">
            <v>DP02C</v>
          </cell>
          <cell r="C128" t="str">
            <v>DP0</v>
          </cell>
          <cell r="D128" t="str">
            <v>NUTRIDRINK, čokoládová príchuť</v>
          </cell>
          <cell r="E128" t="str">
            <v>sol 1x200 ml</v>
          </cell>
          <cell r="F128">
            <v>234431</v>
          </cell>
          <cell r="G128">
            <v>11083352.9</v>
          </cell>
          <cell r="H128">
            <v>23382.2</v>
          </cell>
          <cell r="I128" t="str">
            <v>3q2007</v>
          </cell>
        </row>
        <row r="129">
          <cell r="A129" t="str">
            <v>D0078</v>
          </cell>
          <cell r="B129" t="str">
            <v>DP02C</v>
          </cell>
          <cell r="C129" t="str">
            <v>DP0</v>
          </cell>
          <cell r="D129" t="str">
            <v>NUTRIDRINK, neutrálna chuť</v>
          </cell>
          <cell r="E129" t="str">
            <v>sol 1x200 ml</v>
          </cell>
          <cell r="F129">
            <v>34972</v>
          </cell>
          <cell r="G129">
            <v>1647035.1</v>
          </cell>
          <cell r="H129">
            <v>3470.2</v>
          </cell>
          <cell r="I129" t="str">
            <v>3q2007</v>
          </cell>
        </row>
        <row r="130">
          <cell r="A130" t="str">
            <v>D0079</v>
          </cell>
          <cell r="B130" t="str">
            <v>DP02C</v>
          </cell>
          <cell r="C130" t="str">
            <v>DP0</v>
          </cell>
          <cell r="D130" t="str">
            <v>NUTRIDRINK, karamelová príchuť</v>
          </cell>
          <cell r="E130" t="str">
            <v>sol 1x200 ml</v>
          </cell>
          <cell r="F130">
            <v>44842</v>
          </cell>
          <cell r="G130">
            <v>2118837.5</v>
          </cell>
          <cell r="H130">
            <v>4472.8999999999996</v>
          </cell>
          <cell r="I130" t="str">
            <v>3q2007</v>
          </cell>
        </row>
        <row r="131">
          <cell r="A131" t="str">
            <v>D0080</v>
          </cell>
          <cell r="B131" t="str">
            <v>DP02C</v>
          </cell>
          <cell r="C131" t="str">
            <v>DP0</v>
          </cell>
          <cell r="D131" t="str">
            <v>NUTRIDRINK, príchuť tropického ovocia</v>
          </cell>
          <cell r="E131" t="str">
            <v>sol 1x200 ml</v>
          </cell>
          <cell r="F131">
            <v>47350</v>
          </cell>
          <cell r="G131">
            <v>2239390.1</v>
          </cell>
          <cell r="H131">
            <v>4718.8</v>
          </cell>
          <cell r="I131" t="str">
            <v>3q2007</v>
          </cell>
        </row>
        <row r="132">
          <cell r="A132" t="str">
            <v>D0126</v>
          </cell>
          <cell r="B132" t="str">
            <v>DP02C</v>
          </cell>
          <cell r="C132" t="str">
            <v>DP0</v>
          </cell>
          <cell r="D132" t="str">
            <v>NUTRIDRINK YOGHURT, s príchuťou vanilka a citrón</v>
          </cell>
          <cell r="E132" t="str">
            <v>sol 1x200 ml</v>
          </cell>
          <cell r="F132">
            <v>3442</v>
          </cell>
          <cell r="G132">
            <v>159784.6</v>
          </cell>
          <cell r="H132">
            <v>29844.1</v>
          </cell>
          <cell r="I132" t="str">
            <v>3q2007</v>
          </cell>
        </row>
        <row r="133">
          <cell r="A133" t="str">
            <v>D0127</v>
          </cell>
          <cell r="B133" t="str">
            <v>DP02C</v>
          </cell>
          <cell r="C133" t="str">
            <v>DP0</v>
          </cell>
          <cell r="D133" t="str">
            <v>NUTRIDRINK YOGHURT, s malinovou príchuťou</v>
          </cell>
          <cell r="E133" t="str">
            <v>sol 1x200 ml</v>
          </cell>
          <cell r="F133">
            <v>6420</v>
          </cell>
          <cell r="G133">
            <v>303046.3</v>
          </cell>
          <cell r="H133">
            <v>57330.5</v>
          </cell>
          <cell r="I133" t="str">
            <v>3q2007</v>
          </cell>
        </row>
        <row r="134">
          <cell r="A134" t="str">
            <v>D0218</v>
          </cell>
          <cell r="B134" t="str">
            <v>DP02C</v>
          </cell>
          <cell r="C134" t="str">
            <v>DP0</v>
          </cell>
          <cell r="D134" t="str">
            <v>ENSURE PLUS, príchuť čiernych ríbezlí</v>
          </cell>
          <cell r="E134" t="str">
            <v>sol 1x200 ml</v>
          </cell>
          <cell r="F134">
            <v>32544</v>
          </cell>
          <cell r="G134">
            <v>1536745.3</v>
          </cell>
          <cell r="H134">
            <v>0</v>
          </cell>
          <cell r="I134" t="str">
            <v>3q2007</v>
          </cell>
        </row>
        <row r="135">
          <cell r="A135" t="str">
            <v>D0219</v>
          </cell>
          <cell r="B135" t="str">
            <v>DP02C</v>
          </cell>
          <cell r="C135" t="str">
            <v>DP0</v>
          </cell>
          <cell r="D135" t="str">
            <v>ENSURE PLUS, jahodová príchuť</v>
          </cell>
          <cell r="E135" t="str">
            <v>sol 1x200 ml</v>
          </cell>
          <cell r="F135">
            <v>41924</v>
          </cell>
          <cell r="G135">
            <v>1981074.3</v>
          </cell>
          <cell r="H135">
            <v>0</v>
          </cell>
          <cell r="I135" t="str">
            <v>3q2007</v>
          </cell>
        </row>
        <row r="136">
          <cell r="A136" t="str">
            <v>D0220</v>
          </cell>
          <cell r="B136" t="str">
            <v>DP02C</v>
          </cell>
          <cell r="C136" t="str">
            <v>DP0</v>
          </cell>
          <cell r="D136" t="str">
            <v>ENSURE PLUS  jogurt, broskyňová príchuť</v>
          </cell>
          <cell r="E136" t="str">
            <v>sol 1x220 ml</v>
          </cell>
          <cell r="F136">
            <v>20432</v>
          </cell>
          <cell r="G136">
            <v>1058615.7</v>
          </cell>
          <cell r="H136">
            <v>0</v>
          </cell>
          <cell r="I136" t="str">
            <v>3q2007</v>
          </cell>
        </row>
        <row r="137">
          <cell r="A137" t="str">
            <v>D0221</v>
          </cell>
          <cell r="B137" t="str">
            <v>DP02C</v>
          </cell>
          <cell r="C137" t="str">
            <v>DP0</v>
          </cell>
          <cell r="D137" t="str">
            <v>ENSURE PLUS jogurt, pomarančová príchuť</v>
          </cell>
          <cell r="E137" t="str">
            <v>sol 1x220 ml</v>
          </cell>
          <cell r="F137">
            <v>10116</v>
          </cell>
          <cell r="G137">
            <v>523811.9</v>
          </cell>
          <cell r="H137">
            <v>0</v>
          </cell>
          <cell r="I137" t="str">
            <v>3q2007</v>
          </cell>
        </row>
        <row r="138">
          <cell r="A138" t="str">
            <v>D0306</v>
          </cell>
          <cell r="B138" t="str">
            <v>DP02C</v>
          </cell>
          <cell r="C138" t="str">
            <v>DP0</v>
          </cell>
          <cell r="D138" t="str">
            <v>Osmeral HC coffee cream</v>
          </cell>
          <cell r="E138" t="str">
            <v>sol 1x500 ml</v>
          </cell>
          <cell r="F138">
            <v>537</v>
          </cell>
          <cell r="G138">
            <v>63038.2</v>
          </cell>
          <cell r="H138">
            <v>1769.1</v>
          </cell>
          <cell r="I138" t="str">
            <v>3q2007</v>
          </cell>
        </row>
        <row r="139">
          <cell r="B139" t="str">
            <v>DP02C Celkom</v>
          </cell>
          <cell r="F139">
            <v>745514</v>
          </cell>
          <cell r="G139">
            <v>35373235.100000009</v>
          </cell>
          <cell r="H139">
            <v>126862.30000000002</v>
          </cell>
        </row>
        <row r="140">
          <cell r="A140" t="str">
            <v>D0020</v>
          </cell>
          <cell r="B140" t="str">
            <v>DP02D</v>
          </cell>
          <cell r="C140" t="str">
            <v>DP0</v>
          </cell>
          <cell r="D140" t="str">
            <v>FRESUBIN ENERGY FIBRE, príchuť neutrálna</v>
          </cell>
          <cell r="E140" t="str">
            <v>sol 1x500 ml</v>
          </cell>
          <cell r="F140">
            <v>20</v>
          </cell>
          <cell r="G140">
            <v>942</v>
          </cell>
          <cell r="H140">
            <v>840</v>
          </cell>
          <cell r="I140" t="str">
            <v>3q2007</v>
          </cell>
        </row>
        <row r="141">
          <cell r="A141" t="str">
            <v>D0021</v>
          </cell>
          <cell r="B141" t="str">
            <v>DP02D</v>
          </cell>
          <cell r="C141" t="str">
            <v>DP0</v>
          </cell>
          <cell r="D141" t="str">
            <v>FRESUBIN ENERGY FIBRE DRINK, príchuť čokoládová</v>
          </cell>
          <cell r="E141" t="str">
            <v>sol 1x200 ml</v>
          </cell>
          <cell r="F141">
            <v>2008</v>
          </cell>
          <cell r="G141">
            <v>95242.5</v>
          </cell>
          <cell r="H141">
            <v>0</v>
          </cell>
          <cell r="I141" t="str">
            <v>3q2007</v>
          </cell>
        </row>
        <row r="142">
          <cell r="A142" t="str">
            <v>D0022</v>
          </cell>
          <cell r="B142" t="str">
            <v>DP02D</v>
          </cell>
          <cell r="C142" t="str">
            <v>DP0</v>
          </cell>
          <cell r="D142" t="str">
            <v>FRESUBIN ENERGY FIBRE DRINK, príchuť kapučíno</v>
          </cell>
          <cell r="E142" t="str">
            <v>sol 1x200 ml</v>
          </cell>
          <cell r="F142">
            <v>1286</v>
          </cell>
          <cell r="G142">
            <v>61077.3</v>
          </cell>
          <cell r="H142">
            <v>0</v>
          </cell>
          <cell r="I142" t="str">
            <v>3q2007</v>
          </cell>
        </row>
        <row r="143">
          <cell r="A143" t="str">
            <v>D0023</v>
          </cell>
          <cell r="B143" t="str">
            <v>DP02D</v>
          </cell>
          <cell r="C143" t="str">
            <v>DP0</v>
          </cell>
          <cell r="D143" t="str">
            <v>FRESUBIN ENERGY FIBRE DRINK, príchuť citrónová</v>
          </cell>
          <cell r="E143" t="str">
            <v>sol 1x200 ml</v>
          </cell>
          <cell r="F143">
            <v>1640</v>
          </cell>
          <cell r="G143">
            <v>74528.3</v>
          </cell>
          <cell r="H143">
            <v>0</v>
          </cell>
          <cell r="I143" t="str">
            <v>3q2007</v>
          </cell>
        </row>
        <row r="144">
          <cell r="A144" t="str">
            <v>D0024</v>
          </cell>
          <cell r="B144" t="str">
            <v>DP02D</v>
          </cell>
          <cell r="C144" t="str">
            <v>DP0</v>
          </cell>
          <cell r="D144" t="str">
            <v>FRESUBIN ENERGY FIBRE DRINK, príchuť jahodová</v>
          </cell>
          <cell r="E144" t="str">
            <v>sol 1x200 ml</v>
          </cell>
          <cell r="F144">
            <v>1293</v>
          </cell>
          <cell r="G144">
            <v>61411.9</v>
          </cell>
          <cell r="H144">
            <v>0</v>
          </cell>
          <cell r="I144" t="str">
            <v>3q2007</v>
          </cell>
        </row>
        <row r="145">
          <cell r="A145" t="str">
            <v>D0073</v>
          </cell>
          <cell r="B145" t="str">
            <v>DP02D</v>
          </cell>
          <cell r="C145" t="str">
            <v>DP0</v>
          </cell>
          <cell r="D145" t="str">
            <v>NUTRIDRINK MULTIFIBRE, príchuť pomarančová</v>
          </cell>
          <cell r="E145" t="str">
            <v>sol 1x200 ml</v>
          </cell>
          <cell r="F145">
            <v>56708</v>
          </cell>
          <cell r="G145">
            <v>2684186.1</v>
          </cell>
          <cell r="H145">
            <v>5646.9</v>
          </cell>
          <cell r="I145" t="str">
            <v>3q2007</v>
          </cell>
        </row>
        <row r="146">
          <cell r="A146" t="str">
            <v>D0074</v>
          </cell>
          <cell r="B146" t="str">
            <v>DP02D</v>
          </cell>
          <cell r="C146" t="str">
            <v>DP0</v>
          </cell>
          <cell r="D146" t="str">
            <v>NUTRIDRINK MULTIFIBRE, príchuť vanilková</v>
          </cell>
          <cell r="E146" t="str">
            <v>sol 1x200 ml</v>
          </cell>
          <cell r="F146">
            <v>58884</v>
          </cell>
          <cell r="G146">
            <v>2782335.1</v>
          </cell>
          <cell r="H146">
            <v>5880.4</v>
          </cell>
          <cell r="I146" t="str">
            <v>3q2007</v>
          </cell>
        </row>
        <row r="147">
          <cell r="A147" t="str">
            <v>D0075</v>
          </cell>
          <cell r="B147" t="str">
            <v>DP02D</v>
          </cell>
          <cell r="C147" t="str">
            <v>DP0</v>
          </cell>
          <cell r="D147" t="str">
            <v>NUTRIDRINK MULTIFIBRE, príchuť jahodová</v>
          </cell>
          <cell r="E147" t="str">
            <v>sol 1x200 ml</v>
          </cell>
          <cell r="F147">
            <v>86143</v>
          </cell>
          <cell r="G147">
            <v>4071206.3</v>
          </cell>
          <cell r="H147">
            <v>8581.2999999999993</v>
          </cell>
          <cell r="I147" t="str">
            <v>3q2007</v>
          </cell>
        </row>
        <row r="148">
          <cell r="A148" t="str">
            <v>D0202</v>
          </cell>
          <cell r="B148" t="str">
            <v>DP02D</v>
          </cell>
          <cell r="C148" t="str">
            <v>DP0</v>
          </cell>
          <cell r="D148" t="str">
            <v>NUTRISON PROTEIN Plus Multifibre</v>
          </cell>
          <cell r="E148" t="str">
            <v>sol 1x500 ml</v>
          </cell>
          <cell r="F148">
            <v>372</v>
          </cell>
          <cell r="G148">
            <v>88586.4</v>
          </cell>
          <cell r="H148">
            <v>2838</v>
          </cell>
          <cell r="I148" t="str">
            <v>3q2007</v>
          </cell>
        </row>
        <row r="149">
          <cell r="A149" t="str">
            <v>D0255</v>
          </cell>
          <cell r="B149" t="str">
            <v>DP02D</v>
          </cell>
          <cell r="C149" t="str">
            <v>DP0</v>
          </cell>
          <cell r="D149" t="str">
            <v>ENRICH PLUS, príchuť malín</v>
          </cell>
          <cell r="E149" t="str">
            <v>sol 1x200 ml</v>
          </cell>
          <cell r="F149">
            <v>21267</v>
          </cell>
          <cell r="G149">
            <v>1003633</v>
          </cell>
          <cell r="H149">
            <v>0</v>
          </cell>
          <cell r="I149" t="str">
            <v>3q2007</v>
          </cell>
        </row>
        <row r="150">
          <cell r="A150" t="str">
            <v>D0307</v>
          </cell>
          <cell r="B150" t="str">
            <v>DP02D</v>
          </cell>
          <cell r="C150" t="str">
            <v>DP0</v>
          </cell>
          <cell r="D150" t="str">
            <v>Osmeral complete tetra</v>
          </cell>
          <cell r="E150" t="str">
            <v>sol 1x470 ml</v>
          </cell>
          <cell r="F150">
            <v>82</v>
          </cell>
          <cell r="G150">
            <v>9151.2000000000007</v>
          </cell>
          <cell r="H150">
            <v>278.8</v>
          </cell>
          <cell r="I150" t="str">
            <v>3q2007</v>
          </cell>
        </row>
        <row r="151">
          <cell r="B151" t="str">
            <v>DP02D Celkom</v>
          </cell>
          <cell r="F151">
            <v>229703</v>
          </cell>
          <cell r="G151">
            <v>10932300.1</v>
          </cell>
          <cell r="H151">
            <v>24065.399999999998</v>
          </cell>
        </row>
        <row r="152">
          <cell r="A152" t="str">
            <v>D0070</v>
          </cell>
          <cell r="B152" t="str">
            <v>DP02E</v>
          </cell>
          <cell r="C152" t="str">
            <v>DP0</v>
          </cell>
          <cell r="D152" t="str">
            <v>PEPTISORB POWDER</v>
          </cell>
          <cell r="E152" t="str">
            <v>plv 1x500 g</v>
          </cell>
          <cell r="F152">
            <v>496</v>
          </cell>
          <cell r="G152">
            <v>403923.8</v>
          </cell>
          <cell r="H152">
            <v>0</v>
          </cell>
          <cell r="I152" t="str">
            <v>3q2007</v>
          </cell>
        </row>
        <row r="153">
          <cell r="A153" t="str">
            <v>D0076</v>
          </cell>
          <cell r="B153" t="str">
            <v>DP02E</v>
          </cell>
          <cell r="C153" t="str">
            <v>DP0</v>
          </cell>
          <cell r="D153" t="str">
            <v>PEPTISORB</v>
          </cell>
          <cell r="E153" t="str">
            <v>sol 1x500 ml</v>
          </cell>
          <cell r="F153">
            <v>323</v>
          </cell>
          <cell r="G153">
            <v>66841.899999999994</v>
          </cell>
          <cell r="H153">
            <v>5325.1</v>
          </cell>
          <cell r="I153" t="str">
            <v>3q2007</v>
          </cell>
        </row>
        <row r="154">
          <cell r="A154" t="str">
            <v>D0242</v>
          </cell>
          <cell r="B154" t="str">
            <v>DP02E</v>
          </cell>
          <cell r="C154" t="str">
            <v>DP0</v>
          </cell>
          <cell r="D154" t="str">
            <v>PEPTAMEN VANILLA</v>
          </cell>
          <cell r="E154" t="str">
            <v>plv 1x430 g</v>
          </cell>
          <cell r="F154">
            <v>283</v>
          </cell>
          <cell r="G154">
            <v>228396.23</v>
          </cell>
          <cell r="H154">
            <v>0</v>
          </cell>
          <cell r="I154" t="str">
            <v>3q2007</v>
          </cell>
        </row>
        <row r="155">
          <cell r="A155" t="str">
            <v>D0243</v>
          </cell>
          <cell r="B155" t="str">
            <v>DP02E</v>
          </cell>
          <cell r="C155" t="str">
            <v>DP0</v>
          </cell>
          <cell r="D155" t="str">
            <v>PEPTAMEN JUNIOR VANILLA</v>
          </cell>
          <cell r="E155" t="str">
            <v>plv 1x400 g</v>
          </cell>
          <cell r="F155">
            <v>15</v>
          </cell>
          <cell r="G155">
            <v>9308.7999999999993</v>
          </cell>
          <cell r="H155">
            <v>756</v>
          </cell>
          <cell r="I155" t="str">
            <v>3q2007</v>
          </cell>
        </row>
        <row r="156">
          <cell r="B156" t="str">
            <v>DP02E Celkom</v>
          </cell>
          <cell r="F156">
            <v>1117</v>
          </cell>
          <cell r="G156">
            <v>708470.73</v>
          </cell>
          <cell r="H156">
            <v>6081.1</v>
          </cell>
        </row>
        <row r="157">
          <cell r="A157" t="str">
            <v>D0041</v>
          </cell>
          <cell r="B157" t="str">
            <v>DP02F</v>
          </cell>
          <cell r="C157" t="str">
            <v>DP0</v>
          </cell>
          <cell r="D157" t="str">
            <v>DIBEN, príchuť neutrálna</v>
          </cell>
          <cell r="E157" t="str">
            <v>sol 1x500 ml</v>
          </cell>
          <cell r="F157">
            <v>143</v>
          </cell>
          <cell r="G157">
            <v>20291.7</v>
          </cell>
          <cell r="H157">
            <v>0</v>
          </cell>
          <cell r="I157" t="str">
            <v>3q2007</v>
          </cell>
        </row>
        <row r="158">
          <cell r="A158" t="str">
            <v>D0051</v>
          </cell>
          <cell r="B158" t="str">
            <v>DP02F</v>
          </cell>
          <cell r="C158" t="str">
            <v>DP0</v>
          </cell>
          <cell r="D158" t="str">
            <v>DIBEN DRINK, príchuť karamelová</v>
          </cell>
          <cell r="E158" t="str">
            <v>sol 1x200 ml</v>
          </cell>
          <cell r="F158">
            <v>59</v>
          </cell>
          <cell r="G158">
            <v>3345.3</v>
          </cell>
          <cell r="H158">
            <v>0</v>
          </cell>
          <cell r="I158" t="str">
            <v>3q2007</v>
          </cell>
        </row>
        <row r="159">
          <cell r="A159" t="str">
            <v>D0052</v>
          </cell>
          <cell r="B159" t="str">
            <v>DP02F</v>
          </cell>
          <cell r="C159" t="str">
            <v>DP0</v>
          </cell>
          <cell r="D159" t="str">
            <v>DIBEN DRINK, príchuť kapučíno</v>
          </cell>
          <cell r="E159" t="str">
            <v>sol 1x200 ml</v>
          </cell>
          <cell r="F159">
            <v>1288</v>
          </cell>
          <cell r="G159">
            <v>73029.600000000006</v>
          </cell>
          <cell r="H159">
            <v>0</v>
          </cell>
          <cell r="I159" t="str">
            <v>3q2007</v>
          </cell>
        </row>
        <row r="160">
          <cell r="A160" t="str">
            <v>D0053</v>
          </cell>
          <cell r="B160" t="str">
            <v>DP02F</v>
          </cell>
          <cell r="C160" t="str">
            <v>DP0</v>
          </cell>
          <cell r="D160" t="str">
            <v>DIBEN DRINK, príchuť lesné plody</v>
          </cell>
          <cell r="E160" t="str">
            <v>sol 1x200 ml</v>
          </cell>
          <cell r="F160">
            <v>878</v>
          </cell>
          <cell r="G160">
            <v>49734.6</v>
          </cell>
          <cell r="H160">
            <v>0</v>
          </cell>
          <cell r="I160" t="str">
            <v>3q2007</v>
          </cell>
        </row>
        <row r="161">
          <cell r="A161" t="str">
            <v>D0240</v>
          </cell>
          <cell r="B161" t="str">
            <v>DP02F</v>
          </cell>
          <cell r="C161" t="str">
            <v>DP0</v>
          </cell>
          <cell r="D161" t="str">
            <v>Clinutren DIABETES VANILLA</v>
          </cell>
          <cell r="E161" t="str">
            <v>plv 1x400 g</v>
          </cell>
          <cell r="F161">
            <v>74</v>
          </cell>
          <cell r="G161">
            <v>36636</v>
          </cell>
          <cell r="H161">
            <v>867.2</v>
          </cell>
          <cell r="I161" t="str">
            <v>3q2007</v>
          </cell>
        </row>
        <row r="162">
          <cell r="A162" t="str">
            <v>D0312</v>
          </cell>
          <cell r="B162" t="str">
            <v>DP02F</v>
          </cell>
          <cell r="C162" t="str">
            <v>DP0</v>
          </cell>
          <cell r="D162" t="str">
            <v>Osmeral DS tetra</v>
          </cell>
          <cell r="E162" t="str">
            <v>sol 1x470 ml</v>
          </cell>
          <cell r="F162">
            <v>65</v>
          </cell>
          <cell r="G162">
            <v>8645</v>
          </cell>
          <cell r="H162">
            <v>0</v>
          </cell>
          <cell r="I162" t="str">
            <v>3q2007</v>
          </cell>
        </row>
        <row r="163">
          <cell r="A163" t="str">
            <v>D0313</v>
          </cell>
          <cell r="B163" t="str">
            <v>DP02F</v>
          </cell>
          <cell r="C163" t="str">
            <v>DP0</v>
          </cell>
          <cell r="D163" t="str">
            <v>Osmeral DS instant</v>
          </cell>
          <cell r="E163" t="str">
            <v>plv 2x170 g</v>
          </cell>
          <cell r="F163">
            <v>5</v>
          </cell>
          <cell r="G163">
            <v>2150</v>
          </cell>
          <cell r="H163">
            <v>0</v>
          </cell>
          <cell r="I163" t="str">
            <v>3q2007</v>
          </cell>
        </row>
        <row r="164">
          <cell r="B164" t="str">
            <v>DP02F Celkom</v>
          </cell>
          <cell r="F164">
            <v>2512</v>
          </cell>
          <cell r="G164">
            <v>193832.2</v>
          </cell>
          <cell r="H164">
            <v>867.2</v>
          </cell>
        </row>
        <row r="165">
          <cell r="A165" t="str">
            <v>D0155</v>
          </cell>
          <cell r="B165" t="str">
            <v>DP02G</v>
          </cell>
          <cell r="C165" t="str">
            <v>DP0</v>
          </cell>
          <cell r="D165" t="str">
            <v>NEPRO, vanilková príchuť</v>
          </cell>
          <cell r="E165" t="str">
            <v>sol 1x237 ml</v>
          </cell>
          <cell r="F165">
            <v>9046</v>
          </cell>
          <cell r="G165">
            <v>1002895</v>
          </cell>
          <cell r="H165">
            <v>0</v>
          </cell>
          <cell r="I165" t="str">
            <v>3q2007</v>
          </cell>
        </row>
        <row r="166">
          <cell r="A166" t="str">
            <v>D0156</v>
          </cell>
          <cell r="B166" t="str">
            <v>DP02G</v>
          </cell>
          <cell r="C166" t="str">
            <v>DP0</v>
          </cell>
          <cell r="D166" t="str">
            <v>NEPRO, vanilková príchuť</v>
          </cell>
          <cell r="E166" t="str">
            <v>sol 1x500 ml</v>
          </cell>
          <cell r="F166">
            <v>30</v>
          </cell>
          <cell r="G166">
            <v>3348</v>
          </cell>
          <cell r="H166">
            <v>0</v>
          </cell>
          <cell r="I166" t="str">
            <v>3q2007</v>
          </cell>
        </row>
        <row r="167">
          <cell r="B167" t="str">
            <v>DP02G Celkom</v>
          </cell>
          <cell r="F167">
            <v>9076</v>
          </cell>
          <cell r="G167">
            <v>1006243</v>
          </cell>
          <cell r="H167">
            <v>0</v>
          </cell>
        </row>
        <row r="168">
          <cell r="A168" t="str">
            <v>D0054</v>
          </cell>
          <cell r="B168" t="str">
            <v>DP02H</v>
          </cell>
          <cell r="C168" t="str">
            <v>DP0</v>
          </cell>
          <cell r="D168" t="str">
            <v>FRESUBIN HEPA,  príchuť mandarínková</v>
          </cell>
          <cell r="E168" t="str">
            <v>sol 1x500 ml</v>
          </cell>
          <cell r="F168">
            <v>309</v>
          </cell>
          <cell r="G168">
            <v>48543.9</v>
          </cell>
          <cell r="H168">
            <v>0</v>
          </cell>
          <cell r="I168" t="str">
            <v>3q2007</v>
          </cell>
        </row>
        <row r="169">
          <cell r="A169" t="str">
            <v>D0055</v>
          </cell>
          <cell r="B169" t="str">
            <v>DP02H</v>
          </cell>
          <cell r="C169" t="str">
            <v>DP0</v>
          </cell>
          <cell r="D169" t="str">
            <v>FRESUBIN HEPA,  príchuť kapučíno</v>
          </cell>
          <cell r="E169" t="str">
            <v>sol 1x500 ml</v>
          </cell>
          <cell r="F169">
            <v>1065</v>
          </cell>
          <cell r="G169">
            <v>167310.9</v>
          </cell>
          <cell r="H169">
            <v>0</v>
          </cell>
          <cell r="I169" t="str">
            <v>3q2007</v>
          </cell>
        </row>
        <row r="170">
          <cell r="B170" t="str">
            <v>DP02H Celkom</v>
          </cell>
          <cell r="F170">
            <v>1374</v>
          </cell>
          <cell r="G170">
            <v>215854.8</v>
          </cell>
          <cell r="H170">
            <v>0</v>
          </cell>
        </row>
        <row r="171">
          <cell r="A171" t="str">
            <v>D0157</v>
          </cell>
          <cell r="B171" t="str">
            <v>DP02I</v>
          </cell>
          <cell r="C171" t="str">
            <v>DP0</v>
          </cell>
          <cell r="D171" t="str">
            <v>PULMOCARE, vanilková príchuť</v>
          </cell>
          <cell r="E171" t="str">
            <v>sol 1x500 ml</v>
          </cell>
          <cell r="F171">
            <v>308</v>
          </cell>
          <cell r="G171">
            <v>48386.8</v>
          </cell>
          <cell r="H171">
            <v>0</v>
          </cell>
          <cell r="I171" t="str">
            <v>3q2007</v>
          </cell>
        </row>
        <row r="172">
          <cell r="B172" t="str">
            <v>DP02I Celkom</v>
          </cell>
          <cell r="F172">
            <v>308</v>
          </cell>
          <cell r="G172">
            <v>48386.8</v>
          </cell>
          <cell r="H172">
            <v>0</v>
          </cell>
        </row>
        <row r="173">
          <cell r="A173" t="str">
            <v>D0158</v>
          </cell>
          <cell r="B173" t="str">
            <v>DP02J</v>
          </cell>
          <cell r="C173" t="str">
            <v>DP0</v>
          </cell>
          <cell r="D173" t="str">
            <v>PROSURE, vanilková príchuť</v>
          </cell>
          <cell r="E173" t="str">
            <v>sol 1x240 ml</v>
          </cell>
          <cell r="F173">
            <v>18101</v>
          </cell>
          <cell r="G173">
            <v>1618350.4</v>
          </cell>
          <cell r="H173">
            <v>0</v>
          </cell>
          <cell r="I173" t="str">
            <v>3q2007</v>
          </cell>
        </row>
        <row r="174">
          <cell r="A174" t="str">
            <v>D0159</v>
          </cell>
          <cell r="B174" t="str">
            <v>DP02J</v>
          </cell>
          <cell r="C174" t="str">
            <v>DP0</v>
          </cell>
          <cell r="D174" t="str">
            <v>PROSURE, banánová príchuť</v>
          </cell>
          <cell r="E174" t="str">
            <v>sol 1x240 ml</v>
          </cell>
          <cell r="F174">
            <v>20808</v>
          </cell>
          <cell r="G174">
            <v>1881077.4</v>
          </cell>
          <cell r="H174">
            <v>0</v>
          </cell>
          <cell r="I174" t="str">
            <v>3q2007</v>
          </cell>
        </row>
        <row r="175">
          <cell r="A175" t="str">
            <v>D0160</v>
          </cell>
          <cell r="B175" t="str">
            <v>DP02J</v>
          </cell>
          <cell r="C175" t="str">
            <v>DP0</v>
          </cell>
          <cell r="D175" t="str">
            <v>PROSURE, pomarančová príchuť</v>
          </cell>
          <cell r="E175" t="str">
            <v>sol 1x240 ml</v>
          </cell>
          <cell r="F175">
            <v>13807</v>
          </cell>
          <cell r="G175">
            <v>1243803.5</v>
          </cell>
          <cell r="H175">
            <v>0</v>
          </cell>
          <cell r="I175" t="str">
            <v>3q2007</v>
          </cell>
        </row>
        <row r="176">
          <cell r="A176" t="str">
            <v>D0244</v>
          </cell>
          <cell r="B176" t="str">
            <v>DP02J</v>
          </cell>
          <cell r="C176" t="str">
            <v>DP0</v>
          </cell>
          <cell r="D176" t="str">
            <v>MODULEN IBD</v>
          </cell>
          <cell r="E176" t="str">
            <v>plv 1x400 g</v>
          </cell>
          <cell r="F176">
            <v>252</v>
          </cell>
          <cell r="G176">
            <v>162140.20000000001</v>
          </cell>
          <cell r="H176">
            <v>0</v>
          </cell>
          <cell r="I176" t="str">
            <v>3q2007</v>
          </cell>
        </row>
        <row r="177">
          <cell r="B177" t="str">
            <v>DP02J Celkom</v>
          </cell>
          <cell r="F177">
            <v>52968</v>
          </cell>
          <cell r="G177">
            <v>4905371.5</v>
          </cell>
          <cell r="H177">
            <v>0</v>
          </cell>
        </row>
        <row r="178">
          <cell r="A178" t="str">
            <v>D0134</v>
          </cell>
          <cell r="B178" t="str">
            <v>DP02K</v>
          </cell>
          <cell r="C178" t="str">
            <v>DP0</v>
          </cell>
          <cell r="D178" t="str">
            <v>L-ARGINÍN</v>
          </cell>
          <cell r="E178" t="str">
            <v>plv 1x100 g</v>
          </cell>
          <cell r="F178">
            <v>27</v>
          </cell>
          <cell r="G178">
            <v>53743.5</v>
          </cell>
          <cell r="H178">
            <v>0</v>
          </cell>
          <cell r="I178" t="str">
            <v>3q2007</v>
          </cell>
        </row>
        <row r="179">
          <cell r="A179" t="str">
            <v>D0135</v>
          </cell>
          <cell r="B179" t="str">
            <v>DP02K</v>
          </cell>
          <cell r="C179" t="str">
            <v>DP0</v>
          </cell>
          <cell r="D179" t="str">
            <v>L-CITRULÍN</v>
          </cell>
          <cell r="E179" t="str">
            <v>plv 1x100 g</v>
          </cell>
          <cell r="F179">
            <v>1</v>
          </cell>
          <cell r="G179">
            <v>7990.5</v>
          </cell>
          <cell r="H179">
            <v>0</v>
          </cell>
          <cell r="I179" t="str">
            <v>3q2007</v>
          </cell>
        </row>
        <row r="180">
          <cell r="A180" t="str">
            <v>D0137</v>
          </cell>
          <cell r="B180" t="str">
            <v>DP02K</v>
          </cell>
          <cell r="C180" t="str">
            <v>DP0</v>
          </cell>
          <cell r="D180" t="str">
            <v>L-KARNITÍN</v>
          </cell>
          <cell r="E180" t="str">
            <v>plv 1x1 g</v>
          </cell>
          <cell r="F180">
            <v>1769</v>
          </cell>
          <cell r="G180">
            <v>462593.5</v>
          </cell>
          <cell r="H180">
            <v>0</v>
          </cell>
          <cell r="I180" t="str">
            <v>3q2007</v>
          </cell>
        </row>
        <row r="181">
          <cell r="B181" t="str">
            <v>DP02K Celkom</v>
          </cell>
          <cell r="F181">
            <v>1797</v>
          </cell>
          <cell r="G181">
            <v>524327.5</v>
          </cell>
          <cell r="H181">
            <v>0</v>
          </cell>
        </row>
        <row r="182">
          <cell r="A182" t="str">
            <v>D0112</v>
          </cell>
          <cell r="B182" t="str">
            <v>DP03A</v>
          </cell>
          <cell r="C182" t="str">
            <v>DP0</v>
          </cell>
          <cell r="D182" t="str">
            <v>BEBA H.A. 2 BIFIDUS</v>
          </cell>
          <cell r="E182" t="str">
            <v>plv 1x750 g</v>
          </cell>
          <cell r="F182">
            <v>109</v>
          </cell>
          <cell r="G182">
            <v>23354.400000000001</v>
          </cell>
          <cell r="H182">
            <v>27206.1</v>
          </cell>
          <cell r="I182" t="str">
            <v>3q2007</v>
          </cell>
        </row>
        <row r="183">
          <cell r="A183" t="str">
            <v>D0114</v>
          </cell>
          <cell r="B183" t="str">
            <v>DP03A</v>
          </cell>
          <cell r="C183" t="str">
            <v>DP0</v>
          </cell>
          <cell r="D183" t="str">
            <v>BEBA 2 HA Premium</v>
          </cell>
          <cell r="E183" t="str">
            <v>plv 1x750 g</v>
          </cell>
          <cell r="F183">
            <v>6772</v>
          </cell>
          <cell r="G183">
            <v>1479400.91</v>
          </cell>
          <cell r="H183">
            <v>1881456.3</v>
          </cell>
          <cell r="I183" t="str">
            <v>3q2007</v>
          </cell>
        </row>
        <row r="184">
          <cell r="A184" t="str">
            <v>D0117</v>
          </cell>
          <cell r="B184" t="str">
            <v>DP03A</v>
          </cell>
          <cell r="C184" t="str">
            <v>DP0</v>
          </cell>
          <cell r="D184" t="str">
            <v>BEBA 1 HA Premium</v>
          </cell>
          <cell r="E184" t="str">
            <v>plv 1x750 g</v>
          </cell>
          <cell r="F184">
            <v>6479</v>
          </cell>
          <cell r="G184">
            <v>1614990.76</v>
          </cell>
          <cell r="H184">
            <v>1616608.9</v>
          </cell>
          <cell r="I184" t="str">
            <v>3q2007</v>
          </cell>
        </row>
        <row r="185">
          <cell r="A185" t="str">
            <v>D0121</v>
          </cell>
          <cell r="B185" t="str">
            <v>DP03A</v>
          </cell>
          <cell r="C185" t="str">
            <v>DP0</v>
          </cell>
          <cell r="D185" t="str">
            <v>NUTRILON HA 1 HYPOALERGÉNNY</v>
          </cell>
          <cell r="E185" t="str">
            <v>plv 1x400 g</v>
          </cell>
          <cell r="F185">
            <v>10871</v>
          </cell>
          <cell r="G185">
            <v>1342868.31</v>
          </cell>
          <cell r="H185">
            <v>1487875</v>
          </cell>
          <cell r="I185" t="str">
            <v>3q2007</v>
          </cell>
        </row>
        <row r="186">
          <cell r="A186" t="str">
            <v>D0122</v>
          </cell>
          <cell r="B186" t="str">
            <v>DP03A</v>
          </cell>
          <cell r="C186" t="str">
            <v>DP0</v>
          </cell>
          <cell r="D186" t="str">
            <v>NUTRILON HA 2 HYPOALERGÉNNY</v>
          </cell>
          <cell r="E186" t="str">
            <v>plv 1x400 g</v>
          </cell>
          <cell r="F186">
            <v>12712</v>
          </cell>
          <cell r="G186">
            <v>1567289.7</v>
          </cell>
          <cell r="H186">
            <v>1737351.2</v>
          </cell>
          <cell r="I186" t="str">
            <v>3q2007</v>
          </cell>
        </row>
        <row r="187">
          <cell r="A187" t="str">
            <v>D0143</v>
          </cell>
          <cell r="B187" t="str">
            <v>DP03A</v>
          </cell>
          <cell r="C187" t="str">
            <v>DP0</v>
          </cell>
          <cell r="D187" t="str">
            <v>NUTRILON 1 OMNEO</v>
          </cell>
          <cell r="E187" t="str">
            <v>plv 1x400 g</v>
          </cell>
          <cell r="F187">
            <v>1708</v>
          </cell>
          <cell r="G187">
            <v>188682.8</v>
          </cell>
          <cell r="H187">
            <v>245255.1</v>
          </cell>
          <cell r="I187" t="str">
            <v>3q2007</v>
          </cell>
        </row>
        <row r="188">
          <cell r="A188" t="str">
            <v>D0144</v>
          </cell>
          <cell r="B188" t="str">
            <v>DP03A</v>
          </cell>
          <cell r="C188" t="str">
            <v>DP0</v>
          </cell>
          <cell r="D188" t="str">
            <v>NUTRILON 2 OMNEO</v>
          </cell>
          <cell r="E188" t="str">
            <v>plv 1x400 g</v>
          </cell>
          <cell r="F188">
            <v>1318</v>
          </cell>
          <cell r="G188">
            <v>139614.5</v>
          </cell>
          <cell r="H188">
            <v>194591.2</v>
          </cell>
          <cell r="I188" t="str">
            <v>3q2007</v>
          </cell>
        </row>
        <row r="189">
          <cell r="A189" t="str">
            <v>D0228</v>
          </cell>
          <cell r="B189" t="str">
            <v>DP03A</v>
          </cell>
          <cell r="C189" t="str">
            <v>DP0</v>
          </cell>
          <cell r="D189" t="str">
            <v>Humana HA 2</v>
          </cell>
          <cell r="E189" t="str">
            <v>plv 1x650 g</v>
          </cell>
          <cell r="F189">
            <v>829</v>
          </cell>
          <cell r="G189">
            <v>157495.4</v>
          </cell>
          <cell r="H189">
            <v>196576.5</v>
          </cell>
          <cell r="I189" t="str">
            <v>3q2007</v>
          </cell>
        </row>
        <row r="190">
          <cell r="A190" t="str">
            <v>D0229</v>
          </cell>
          <cell r="B190" t="str">
            <v>DP03A</v>
          </cell>
          <cell r="C190" t="str">
            <v>DP0</v>
          </cell>
          <cell r="D190" t="str">
            <v>Humana HA 1</v>
          </cell>
          <cell r="E190" t="str">
            <v>plv 1x650 g</v>
          </cell>
          <cell r="F190">
            <v>688</v>
          </cell>
          <cell r="G190">
            <v>137315.9</v>
          </cell>
          <cell r="H190">
            <v>146453.79999999999</v>
          </cell>
          <cell r="I190" t="str">
            <v>3q2007</v>
          </cell>
        </row>
        <row r="191">
          <cell r="A191" t="str">
            <v>D0257</v>
          </cell>
          <cell r="B191" t="str">
            <v>DP03A</v>
          </cell>
          <cell r="C191" t="str">
            <v>DP0</v>
          </cell>
          <cell r="D191" t="str">
            <v>Nutrilon 2 Comfort</v>
          </cell>
          <cell r="E191" t="str">
            <v>plv 1x400 g</v>
          </cell>
          <cell r="F191">
            <v>145</v>
          </cell>
          <cell r="G191">
            <v>15801.8</v>
          </cell>
          <cell r="H191">
            <v>20703.7</v>
          </cell>
          <cell r="I191" t="str">
            <v>3q2007</v>
          </cell>
        </row>
        <row r="192">
          <cell r="A192" t="str">
            <v>D0258</v>
          </cell>
          <cell r="B192" t="str">
            <v>DP03A</v>
          </cell>
          <cell r="C192" t="str">
            <v>DP0</v>
          </cell>
          <cell r="D192" t="str">
            <v>Nutrilon 1 Comfort</v>
          </cell>
          <cell r="E192" t="str">
            <v>plv 1x400 g</v>
          </cell>
          <cell r="F192">
            <v>174</v>
          </cell>
          <cell r="G192">
            <v>19796.7</v>
          </cell>
          <cell r="H192">
            <v>25794.5</v>
          </cell>
          <cell r="I192" t="str">
            <v>3q2007</v>
          </cell>
        </row>
        <row r="193">
          <cell r="A193" t="str">
            <v>D0259</v>
          </cell>
          <cell r="B193" t="str">
            <v>DP03A</v>
          </cell>
          <cell r="C193" t="str">
            <v>DP0</v>
          </cell>
          <cell r="D193" t="str">
            <v>Hami 2 HA</v>
          </cell>
          <cell r="E193" t="str">
            <v>plv 1x300 g</v>
          </cell>
          <cell r="F193">
            <v>568</v>
          </cell>
          <cell r="G193">
            <v>54214</v>
          </cell>
          <cell r="H193">
            <v>47692.2</v>
          </cell>
          <cell r="I193" t="str">
            <v>3q2007</v>
          </cell>
        </row>
        <row r="194">
          <cell r="A194" t="str">
            <v>D0260</v>
          </cell>
          <cell r="B194" t="str">
            <v>DP03A</v>
          </cell>
          <cell r="C194" t="str">
            <v>DP0</v>
          </cell>
          <cell r="D194" t="str">
            <v>Hami 1  HA</v>
          </cell>
          <cell r="E194" t="str">
            <v>plv 1x300 g</v>
          </cell>
          <cell r="F194">
            <v>99</v>
          </cell>
          <cell r="G194">
            <v>9030.1</v>
          </cell>
          <cell r="H194">
            <v>8821.2999999999993</v>
          </cell>
          <cell r="I194" t="str">
            <v>3q2007</v>
          </cell>
        </row>
        <row r="195">
          <cell r="A195" t="str">
            <v>D0287</v>
          </cell>
          <cell r="B195" t="str">
            <v>DP03A</v>
          </cell>
          <cell r="C195" t="str">
            <v>DP0</v>
          </cell>
          <cell r="D195" t="str">
            <v>Humana HA 1</v>
          </cell>
          <cell r="E195" t="str">
            <v>plv 1x600 g</v>
          </cell>
          <cell r="F195">
            <v>3</v>
          </cell>
          <cell r="G195">
            <v>601.5</v>
          </cell>
          <cell r="H195">
            <v>684.9</v>
          </cell>
          <cell r="I195" t="str">
            <v>3q2007</v>
          </cell>
        </row>
        <row r="196">
          <cell r="A196" t="str">
            <v>D0288</v>
          </cell>
          <cell r="B196" t="str">
            <v>DP03A</v>
          </cell>
          <cell r="C196" t="str">
            <v>DP0</v>
          </cell>
          <cell r="D196" t="str">
            <v>Humana HA 2</v>
          </cell>
          <cell r="E196" t="str">
            <v>plv 1x600 g</v>
          </cell>
          <cell r="F196">
            <v>84</v>
          </cell>
          <cell r="G196">
            <v>16508.8</v>
          </cell>
          <cell r="H196">
            <v>18801.7</v>
          </cell>
          <cell r="I196" t="str">
            <v>3q2007</v>
          </cell>
        </row>
        <row r="197">
          <cell r="A197" t="str">
            <v>D0314</v>
          </cell>
          <cell r="B197" t="str">
            <v>DP03A</v>
          </cell>
          <cell r="C197" t="str">
            <v>DP0</v>
          </cell>
          <cell r="D197" t="str">
            <v>Beba 3 H.A. Junior</v>
          </cell>
          <cell r="E197" t="str">
            <v>plv 1x 750 g</v>
          </cell>
          <cell r="F197">
            <v>176</v>
          </cell>
          <cell r="G197">
            <v>37129</v>
          </cell>
          <cell r="H197">
            <v>49849.2</v>
          </cell>
          <cell r="I197" t="str">
            <v>3q2007</v>
          </cell>
        </row>
        <row r="198">
          <cell r="B198" t="str">
            <v>DP03A Celkom</v>
          </cell>
          <cell r="F198">
            <v>42735</v>
          </cell>
          <cell r="G198">
            <v>6804094.5800000001</v>
          </cell>
          <cell r="H198">
            <v>7705721.6000000006</v>
          </cell>
        </row>
        <row r="199">
          <cell r="A199" t="str">
            <v>D0061</v>
          </cell>
          <cell r="B199" t="str">
            <v>DP03B</v>
          </cell>
          <cell r="C199" t="str">
            <v>DP0</v>
          </cell>
          <cell r="D199" t="str">
            <v>NUTRILON 1 LOW LACTOSE</v>
          </cell>
          <cell r="E199" t="str">
            <v>plv 1x400 g</v>
          </cell>
          <cell r="F199">
            <v>1578</v>
          </cell>
          <cell r="G199">
            <v>140524.20000000001</v>
          </cell>
          <cell r="H199">
            <v>181163.6</v>
          </cell>
          <cell r="I199" t="str">
            <v>3q2007</v>
          </cell>
        </row>
        <row r="200">
          <cell r="A200" t="str">
            <v>D0119</v>
          </cell>
          <cell r="B200" t="str">
            <v>DP03B</v>
          </cell>
          <cell r="C200" t="str">
            <v>DP0</v>
          </cell>
          <cell r="D200" t="str">
            <v>AL110</v>
          </cell>
          <cell r="E200" t="str">
            <v>plv 1x400 g</v>
          </cell>
          <cell r="F200">
            <v>1034</v>
          </cell>
          <cell r="G200">
            <v>90154.8</v>
          </cell>
          <cell r="H200">
            <v>133212.29999999999</v>
          </cell>
          <cell r="I200" t="str">
            <v>3q2007</v>
          </cell>
        </row>
        <row r="201">
          <cell r="B201" t="str">
            <v>DP03B Celkom</v>
          </cell>
          <cell r="F201">
            <v>2612</v>
          </cell>
          <cell r="G201">
            <v>230679</v>
          </cell>
          <cell r="H201">
            <v>314375.90000000002</v>
          </cell>
        </row>
        <row r="202">
          <cell r="A202" t="str">
            <v>D0065</v>
          </cell>
          <cell r="B202" t="str">
            <v>DP03C</v>
          </cell>
          <cell r="C202" t="str">
            <v>DP0</v>
          </cell>
          <cell r="D202" t="str">
            <v>NUTRILON 1 A.R.</v>
          </cell>
          <cell r="E202" t="str">
            <v>plv 1x400 g</v>
          </cell>
          <cell r="F202">
            <v>4977</v>
          </cell>
          <cell r="G202">
            <v>478552.88</v>
          </cell>
          <cell r="H202">
            <v>522185.49</v>
          </cell>
          <cell r="I202" t="str">
            <v>3q2007</v>
          </cell>
        </row>
        <row r="203">
          <cell r="A203" t="str">
            <v>D0066</v>
          </cell>
          <cell r="B203" t="str">
            <v>DP03C</v>
          </cell>
          <cell r="C203" t="str">
            <v>DP0</v>
          </cell>
          <cell r="D203" t="str">
            <v>NUTRILON 2 A.R.</v>
          </cell>
          <cell r="E203" t="str">
            <v>plv 1x400 g</v>
          </cell>
          <cell r="F203">
            <v>10013</v>
          </cell>
          <cell r="G203">
            <v>898314</v>
          </cell>
          <cell r="H203">
            <v>1101108.95</v>
          </cell>
          <cell r="I203" t="str">
            <v>3q2007</v>
          </cell>
        </row>
        <row r="204">
          <cell r="A204" t="str">
            <v>D0113</v>
          </cell>
          <cell r="B204" t="str">
            <v>DP03C</v>
          </cell>
          <cell r="C204" t="str">
            <v>DP0</v>
          </cell>
          <cell r="D204" t="str">
            <v>BEBA 1 A.R.</v>
          </cell>
          <cell r="E204" t="str">
            <v>plv 1x750 g</v>
          </cell>
          <cell r="F204">
            <v>2028</v>
          </cell>
          <cell r="G204">
            <v>381330.48</v>
          </cell>
          <cell r="H204">
            <v>481752.88</v>
          </cell>
          <cell r="I204" t="str">
            <v>3q2007</v>
          </cell>
        </row>
        <row r="205">
          <cell r="A205" t="str">
            <v>D0217</v>
          </cell>
          <cell r="B205" t="str">
            <v>DP03C</v>
          </cell>
          <cell r="C205" t="str">
            <v>DP0</v>
          </cell>
          <cell r="D205" t="str">
            <v>NUTRITON</v>
          </cell>
          <cell r="E205" t="str">
            <v>plv 1x135 g</v>
          </cell>
          <cell r="F205">
            <v>262</v>
          </cell>
          <cell r="G205">
            <v>7533.9</v>
          </cell>
          <cell r="H205">
            <v>58839</v>
          </cell>
          <cell r="I205" t="str">
            <v>3q2007</v>
          </cell>
        </row>
        <row r="206">
          <cell r="A206" t="str">
            <v>D0235</v>
          </cell>
          <cell r="B206" t="str">
            <v>DP03C</v>
          </cell>
          <cell r="C206" t="str">
            <v>DP0</v>
          </cell>
          <cell r="D206" t="str">
            <v>HUMANA AR</v>
          </cell>
          <cell r="E206" t="str">
            <v>plv 1x400 g</v>
          </cell>
          <cell r="F206">
            <v>836</v>
          </cell>
          <cell r="G206">
            <v>84274.8</v>
          </cell>
          <cell r="H206">
            <v>93944.9</v>
          </cell>
          <cell r="I206" t="str">
            <v>3q2007</v>
          </cell>
        </row>
        <row r="207">
          <cell r="B207" t="str">
            <v>DP03C Celkom</v>
          </cell>
          <cell r="F207">
            <v>18116</v>
          </cell>
          <cell r="G207">
            <v>1850006.0599999998</v>
          </cell>
          <cell r="H207">
            <v>2257831.2199999997</v>
          </cell>
        </row>
        <row r="208">
          <cell r="A208" t="str">
            <v>D0059</v>
          </cell>
          <cell r="B208" t="str">
            <v>DP03D</v>
          </cell>
          <cell r="C208" t="str">
            <v>DP0</v>
          </cell>
          <cell r="D208" t="str">
            <v>NUTRILON 1 PEPTI</v>
          </cell>
          <cell r="E208" t="str">
            <v>plv 1x450 g</v>
          </cell>
          <cell r="F208">
            <v>828</v>
          </cell>
          <cell r="G208">
            <v>130394.9</v>
          </cell>
          <cell r="H208">
            <v>116924.3</v>
          </cell>
          <cell r="I208" t="str">
            <v>3q2007</v>
          </cell>
        </row>
        <row r="209">
          <cell r="A209" t="str">
            <v>D0230</v>
          </cell>
          <cell r="B209" t="str">
            <v>DP03D</v>
          </cell>
          <cell r="C209" t="str">
            <v>DP0</v>
          </cell>
          <cell r="D209" t="str">
            <v>NUTRILON 2 PEPTI</v>
          </cell>
          <cell r="E209" t="str">
            <v>plv 1x450 g</v>
          </cell>
          <cell r="F209">
            <v>3389</v>
          </cell>
          <cell r="G209">
            <v>625025.5</v>
          </cell>
          <cell r="H209">
            <v>402326.4</v>
          </cell>
          <cell r="I209" t="str">
            <v>3q2007</v>
          </cell>
        </row>
        <row r="210">
          <cell r="B210" t="str">
            <v>DP03D Celkom</v>
          </cell>
          <cell r="F210">
            <v>4217</v>
          </cell>
          <cell r="G210">
            <v>755420.4</v>
          </cell>
          <cell r="H210">
            <v>519250.7</v>
          </cell>
        </row>
        <row r="211">
          <cell r="A211" t="str">
            <v>D0060</v>
          </cell>
          <cell r="B211" t="str">
            <v>DP03E</v>
          </cell>
          <cell r="C211" t="str">
            <v>DP0</v>
          </cell>
          <cell r="D211" t="str">
            <v>NUTRILON PEPTI MCT</v>
          </cell>
          <cell r="E211" t="str">
            <v>plv 1x450 g</v>
          </cell>
          <cell r="F211">
            <v>751</v>
          </cell>
          <cell r="G211">
            <v>266774.09999999998</v>
          </cell>
          <cell r="H211">
            <v>86848</v>
          </cell>
          <cell r="I211" t="str">
            <v>3q2007</v>
          </cell>
        </row>
        <row r="212">
          <cell r="A212" t="str">
            <v>D0120</v>
          </cell>
          <cell r="B212" t="str">
            <v>DP03E</v>
          </cell>
          <cell r="C212" t="str">
            <v>DP0</v>
          </cell>
          <cell r="D212" t="str">
            <v>ALFARE</v>
          </cell>
          <cell r="E212" t="str">
            <v>plv 1x400 g</v>
          </cell>
          <cell r="F212">
            <v>510</v>
          </cell>
          <cell r="G212">
            <v>143057.4</v>
          </cell>
          <cell r="H212">
            <v>90436.4</v>
          </cell>
          <cell r="I212" t="str">
            <v>3q2007</v>
          </cell>
        </row>
        <row r="213">
          <cell r="B213" t="str">
            <v>DP03E Celkom</v>
          </cell>
          <cell r="F213">
            <v>1261</v>
          </cell>
          <cell r="G213">
            <v>409831.5</v>
          </cell>
          <cell r="H213">
            <v>177284.4</v>
          </cell>
        </row>
        <row r="214">
          <cell r="A214" t="str">
            <v>D0128</v>
          </cell>
          <cell r="B214" t="str">
            <v>DP03F</v>
          </cell>
          <cell r="C214" t="str">
            <v>DP0</v>
          </cell>
          <cell r="D214" t="str">
            <v>NEOCATE</v>
          </cell>
          <cell r="E214" t="str">
            <v>plv 1x400 g</v>
          </cell>
          <cell r="F214">
            <v>688</v>
          </cell>
          <cell r="G214">
            <v>1458609.6</v>
          </cell>
          <cell r="H214">
            <v>82806.2</v>
          </cell>
          <cell r="I214" t="str">
            <v>3q2007</v>
          </cell>
        </row>
        <row r="215">
          <cell r="A215" t="str">
            <v>D0246</v>
          </cell>
          <cell r="B215" t="str">
            <v>DP03F</v>
          </cell>
          <cell r="C215" t="str">
            <v>DP0</v>
          </cell>
          <cell r="D215" t="str">
            <v>NEOCATE ADVANCE</v>
          </cell>
          <cell r="E215" t="str">
            <v>plv 1x400 g</v>
          </cell>
          <cell r="F215">
            <v>564</v>
          </cell>
          <cell r="G215">
            <v>1198943.5</v>
          </cell>
          <cell r="H215">
            <v>67569.899999999994</v>
          </cell>
          <cell r="I215" t="str">
            <v>3q2007</v>
          </cell>
        </row>
        <row r="216">
          <cell r="B216" t="str">
            <v>DP03F Celkom</v>
          </cell>
          <cell r="F216">
            <v>1252</v>
          </cell>
          <cell r="G216">
            <v>2657553.1</v>
          </cell>
          <cell r="H216">
            <v>150376.09999999998</v>
          </cell>
        </row>
        <row r="217">
          <cell r="A217" t="str">
            <v>D0008</v>
          </cell>
          <cell r="B217" t="str">
            <v>DP03G</v>
          </cell>
          <cell r="C217" t="str">
            <v>DP0</v>
          </cell>
          <cell r="D217" t="str">
            <v>ISOMIL 400</v>
          </cell>
          <cell r="E217" t="str">
            <v>plv 1x400 g</v>
          </cell>
          <cell r="F217">
            <v>1</v>
          </cell>
          <cell r="G217">
            <v>21.9</v>
          </cell>
          <cell r="H217">
            <v>124.1</v>
          </cell>
          <cell r="I217" t="str">
            <v>3q2007</v>
          </cell>
        </row>
        <row r="218">
          <cell r="A218" t="str">
            <v>D0058</v>
          </cell>
          <cell r="B218" t="str">
            <v>DP03G</v>
          </cell>
          <cell r="C218" t="str">
            <v>DP0</v>
          </cell>
          <cell r="D218" t="str">
            <v>NUTRILON 1 SOYA</v>
          </cell>
          <cell r="E218" t="str">
            <v>plv 1x400 g</v>
          </cell>
          <cell r="F218">
            <v>183</v>
          </cell>
          <cell r="G218">
            <v>3603.2</v>
          </cell>
          <cell r="H218">
            <v>37677.4</v>
          </cell>
          <cell r="I218" t="str">
            <v>3q2007</v>
          </cell>
        </row>
        <row r="219">
          <cell r="B219" t="str">
            <v>DP03G Celkom</v>
          </cell>
          <cell r="F219">
            <v>184</v>
          </cell>
          <cell r="G219">
            <v>3625.1</v>
          </cell>
          <cell r="H219">
            <v>37801.5</v>
          </cell>
        </row>
        <row r="220">
          <cell r="A220" t="str">
            <v>D0062</v>
          </cell>
          <cell r="B220" t="str">
            <v>DP03H</v>
          </cell>
          <cell r="C220" t="str">
            <v>DP0</v>
          </cell>
          <cell r="D220" t="str">
            <v>NUTRILON NENATAL LCP</v>
          </cell>
          <cell r="E220" t="str">
            <v>plv 1x400 g</v>
          </cell>
          <cell r="F220">
            <v>639</v>
          </cell>
          <cell r="G220">
            <v>160218.6</v>
          </cell>
          <cell r="H220">
            <v>87198.9</v>
          </cell>
          <cell r="I220" t="str">
            <v>3q2007</v>
          </cell>
        </row>
        <row r="221">
          <cell r="A221" t="str">
            <v>D0118</v>
          </cell>
          <cell r="B221" t="str">
            <v>DP03H</v>
          </cell>
          <cell r="C221" t="str">
            <v>DP0</v>
          </cell>
          <cell r="D221" t="str">
            <v>ALPREM</v>
          </cell>
          <cell r="E221" t="str">
            <v>plv 1x400 g</v>
          </cell>
          <cell r="F221">
            <v>4</v>
          </cell>
          <cell r="G221">
            <v>1049</v>
          </cell>
          <cell r="H221">
            <v>102.4</v>
          </cell>
          <cell r="I221" t="str">
            <v>3q2007</v>
          </cell>
        </row>
        <row r="222">
          <cell r="A222" t="str">
            <v>D0142</v>
          </cell>
          <cell r="B222" t="str">
            <v>DP03H</v>
          </cell>
          <cell r="C222" t="str">
            <v>DP0</v>
          </cell>
          <cell r="D222" t="str">
            <v>NUTRILON BMF</v>
          </cell>
          <cell r="E222" t="str">
            <v>plv 50x2,1 g</v>
          </cell>
          <cell r="F222">
            <v>35</v>
          </cell>
          <cell r="G222">
            <v>24102.1</v>
          </cell>
          <cell r="H222">
            <v>2345.5</v>
          </cell>
          <cell r="I222" t="str">
            <v>3q2007</v>
          </cell>
        </row>
        <row r="223">
          <cell r="A223" t="str">
            <v>D0236</v>
          </cell>
          <cell r="B223" t="str">
            <v>DP03H</v>
          </cell>
          <cell r="C223" t="str">
            <v>DP0</v>
          </cell>
          <cell r="D223" t="str">
            <v>BEBA ALPRÉM</v>
          </cell>
          <cell r="E223" t="str">
            <v>plv 1x400 g</v>
          </cell>
          <cell r="F223">
            <v>163</v>
          </cell>
          <cell r="G223">
            <v>39311.5</v>
          </cell>
          <cell r="H223">
            <v>28774.2</v>
          </cell>
          <cell r="I223" t="str">
            <v>3q2007</v>
          </cell>
        </row>
        <row r="224">
          <cell r="A224" t="str">
            <v>D0278</v>
          </cell>
          <cell r="B224" t="str">
            <v>DP03H</v>
          </cell>
          <cell r="C224" t="str">
            <v>DP0</v>
          </cell>
          <cell r="D224" t="str">
            <v>Nutrilon 0 Nenatal</v>
          </cell>
          <cell r="E224" t="str">
            <v>plv 1x400 g</v>
          </cell>
          <cell r="F224">
            <v>17</v>
          </cell>
          <cell r="G224">
            <v>3602.4</v>
          </cell>
          <cell r="H224">
            <v>2812.2</v>
          </cell>
          <cell r="I224" t="str">
            <v>3q2007</v>
          </cell>
        </row>
        <row r="225">
          <cell r="A225" t="str">
            <v>D0279</v>
          </cell>
          <cell r="B225" t="str">
            <v>DP03H</v>
          </cell>
          <cell r="C225" t="str">
            <v>DP0</v>
          </cell>
          <cell r="D225" t="str">
            <v>Nutrilon 1 Nenatal</v>
          </cell>
          <cell r="E225" t="str">
            <v>plv 1x400 g</v>
          </cell>
          <cell r="F225">
            <v>23</v>
          </cell>
          <cell r="G225">
            <v>5096.6000000000004</v>
          </cell>
          <cell r="H225">
            <v>3979.3</v>
          </cell>
          <cell r="I225" t="str">
            <v>3q2007</v>
          </cell>
        </row>
        <row r="226">
          <cell r="A226" t="str">
            <v>D0315</v>
          </cell>
          <cell r="B226" t="str">
            <v>DP03H</v>
          </cell>
          <cell r="C226" t="str">
            <v>DP0</v>
          </cell>
          <cell r="D226" t="str">
            <v>FM 85</v>
          </cell>
          <cell r="E226" t="str">
            <v>plv 1x200 g</v>
          </cell>
          <cell r="F226">
            <v>12</v>
          </cell>
          <cell r="G226">
            <v>12924.9</v>
          </cell>
          <cell r="H226">
            <v>1289.7</v>
          </cell>
          <cell r="I226" t="str">
            <v>3q2007</v>
          </cell>
        </row>
      </sheetData>
      <sheetData sheetId="4">
        <row r="2">
          <cell r="A2" t="str">
            <v>D0081</v>
          </cell>
          <cell r="B2" t="str">
            <v>DP01A</v>
          </cell>
          <cell r="C2" t="str">
            <v>DP0</v>
          </cell>
          <cell r="D2" t="str">
            <v>MILUPA PKU 2</v>
          </cell>
          <cell r="E2" t="str">
            <v>plv 1x500 g</v>
          </cell>
          <cell r="F2">
            <v>31</v>
          </cell>
          <cell r="G2">
            <v>216128.2</v>
          </cell>
          <cell r="H2">
            <v>0</v>
          </cell>
          <cell r="I2" t="str">
            <v>4q2007</v>
          </cell>
        </row>
        <row r="3">
          <cell r="A3" t="str">
            <v>D0082</v>
          </cell>
          <cell r="B3" t="str">
            <v>DP01A</v>
          </cell>
          <cell r="C3" t="str">
            <v>DP0</v>
          </cell>
          <cell r="D3" t="str">
            <v>MILUPA PKU 3</v>
          </cell>
          <cell r="E3" t="str">
            <v>plv 1x500 g</v>
          </cell>
          <cell r="F3">
            <v>48</v>
          </cell>
          <cell r="G3">
            <v>345264</v>
          </cell>
          <cell r="H3">
            <v>0</v>
          </cell>
          <cell r="I3" t="str">
            <v>4q2007</v>
          </cell>
        </row>
        <row r="4">
          <cell r="A4" t="str">
            <v>D0083</v>
          </cell>
          <cell r="B4" t="str">
            <v>DP01A</v>
          </cell>
          <cell r="C4" t="str">
            <v>DP0</v>
          </cell>
          <cell r="D4" t="str">
            <v>MILUPA PKU 2 SHAKE ČOKOLÁDA</v>
          </cell>
          <cell r="E4" t="str">
            <v>plv 1x30 g</v>
          </cell>
          <cell r="F4">
            <v>355</v>
          </cell>
          <cell r="G4">
            <v>73130</v>
          </cell>
          <cell r="H4">
            <v>2130</v>
          </cell>
          <cell r="I4" t="str">
            <v>4q2007</v>
          </cell>
        </row>
        <row r="5">
          <cell r="A5" t="str">
            <v>D0084</v>
          </cell>
          <cell r="B5" t="str">
            <v>DP01A</v>
          </cell>
          <cell r="C5" t="str">
            <v>DP0</v>
          </cell>
          <cell r="D5" t="str">
            <v>MILUPA PKU 2 SHAKE JAHODA-VANILKA</v>
          </cell>
          <cell r="E5" t="str">
            <v>plv 1x30 g</v>
          </cell>
          <cell r="F5">
            <v>215</v>
          </cell>
          <cell r="G5">
            <v>44290</v>
          </cell>
          <cell r="H5">
            <v>1290</v>
          </cell>
          <cell r="I5" t="str">
            <v>4q2007</v>
          </cell>
        </row>
        <row r="6">
          <cell r="A6" t="str">
            <v>D0088</v>
          </cell>
          <cell r="B6" t="str">
            <v>DP01A</v>
          </cell>
          <cell r="C6" t="str">
            <v>DP0</v>
          </cell>
          <cell r="D6" t="str">
            <v>P-AM 2</v>
          </cell>
          <cell r="E6" t="str">
            <v>plv 1x500 g</v>
          </cell>
          <cell r="F6">
            <v>272</v>
          </cell>
          <cell r="G6">
            <v>2070978.1</v>
          </cell>
          <cell r="H6">
            <v>0</v>
          </cell>
          <cell r="I6" t="str">
            <v>4q2007</v>
          </cell>
        </row>
        <row r="7">
          <cell r="A7" t="str">
            <v>D0089</v>
          </cell>
          <cell r="B7" t="str">
            <v>DP01A</v>
          </cell>
          <cell r="C7" t="str">
            <v>DP0</v>
          </cell>
          <cell r="D7" t="str">
            <v>P-AM 3</v>
          </cell>
          <cell r="E7" t="str">
            <v>plv 1x500 g</v>
          </cell>
          <cell r="F7">
            <v>414</v>
          </cell>
          <cell r="G7">
            <v>3147106.2</v>
          </cell>
          <cell r="H7">
            <v>0</v>
          </cell>
          <cell r="I7" t="str">
            <v>4q2007</v>
          </cell>
        </row>
        <row r="8">
          <cell r="A8" t="str">
            <v>D0090</v>
          </cell>
          <cell r="B8" t="str">
            <v>DP01A</v>
          </cell>
          <cell r="C8" t="str">
            <v>DP0</v>
          </cell>
          <cell r="D8" t="str">
            <v>P-AM UNIVERSAL</v>
          </cell>
          <cell r="E8" t="str">
            <v>plv 1x500 g</v>
          </cell>
          <cell r="F8">
            <v>25</v>
          </cell>
          <cell r="G8">
            <v>182407.5</v>
          </cell>
          <cell r="H8">
            <v>0</v>
          </cell>
          <cell r="I8" t="str">
            <v>4q2007</v>
          </cell>
        </row>
        <row r="9">
          <cell r="A9" t="str">
            <v>D0129</v>
          </cell>
          <cell r="B9" t="str">
            <v>DP01A</v>
          </cell>
          <cell r="C9" t="str">
            <v>DP0</v>
          </cell>
          <cell r="D9" t="str">
            <v>XP ANALOG LCP</v>
          </cell>
          <cell r="E9" t="str">
            <v>plv 1x400 g</v>
          </cell>
          <cell r="F9">
            <v>78</v>
          </cell>
          <cell r="G9">
            <v>187292.79999999999</v>
          </cell>
          <cell r="H9">
            <v>0</v>
          </cell>
          <cell r="I9" t="str">
            <v>4q2007</v>
          </cell>
        </row>
        <row r="10">
          <cell r="A10" t="str">
            <v>D0131</v>
          </cell>
          <cell r="B10" t="str">
            <v>DP01A</v>
          </cell>
          <cell r="C10" t="str">
            <v>DP0</v>
          </cell>
          <cell r="D10" t="str">
            <v>PHLEXY-10 TYČINKA</v>
          </cell>
          <cell r="E10" t="str">
            <v>sty 20x42 g</v>
          </cell>
          <cell r="F10">
            <v>15</v>
          </cell>
          <cell r="G10">
            <v>73500</v>
          </cell>
          <cell r="H10">
            <v>2250</v>
          </cell>
          <cell r="I10" t="str">
            <v>4q2007</v>
          </cell>
        </row>
        <row r="11">
          <cell r="A11" t="str">
            <v>D0165</v>
          </cell>
          <cell r="B11" t="str">
            <v>DP01A</v>
          </cell>
          <cell r="C11" t="str">
            <v>DP0</v>
          </cell>
          <cell r="D11" t="str">
            <v>XPhe Advance Se</v>
          </cell>
          <cell r="E11" t="str">
            <v>plv 1x500 g</v>
          </cell>
          <cell r="F11">
            <v>390</v>
          </cell>
          <cell r="G11">
            <v>2929613</v>
          </cell>
          <cell r="H11">
            <v>0</v>
          </cell>
          <cell r="I11" t="str">
            <v>4q2007</v>
          </cell>
        </row>
        <row r="12">
          <cell r="A12" t="str">
            <v>D0166</v>
          </cell>
          <cell r="B12" t="str">
            <v>DP01A</v>
          </cell>
          <cell r="C12" t="str">
            <v>DP0</v>
          </cell>
          <cell r="D12" t="str">
            <v>XPhe Kid Se</v>
          </cell>
          <cell r="E12" t="str">
            <v>plv 1x500 g</v>
          </cell>
          <cell r="F12">
            <v>86</v>
          </cell>
          <cell r="G12">
            <v>586769.19999999995</v>
          </cell>
          <cell r="H12">
            <v>0</v>
          </cell>
          <cell r="I12" t="str">
            <v>4q2007</v>
          </cell>
        </row>
        <row r="13">
          <cell r="A13" t="str">
            <v>D0167</v>
          </cell>
          <cell r="B13" t="str">
            <v>DP01A</v>
          </cell>
          <cell r="C13" t="str">
            <v>DP0</v>
          </cell>
          <cell r="D13" t="str">
            <v>XPhe Junior Se</v>
          </cell>
          <cell r="E13" t="str">
            <v>plv 1x500 g</v>
          </cell>
          <cell r="F13">
            <v>22</v>
          </cell>
          <cell r="G13">
            <v>147866.79999999999</v>
          </cell>
          <cell r="H13">
            <v>0</v>
          </cell>
          <cell r="I13" t="str">
            <v>4q2007</v>
          </cell>
        </row>
        <row r="14">
          <cell r="A14" t="str">
            <v>D0174</v>
          </cell>
          <cell r="B14" t="str">
            <v>DP01A</v>
          </cell>
          <cell r="C14" t="str">
            <v>DP0</v>
          </cell>
          <cell r="D14" t="str">
            <v>APROMIX, nízkobielkovinová múka</v>
          </cell>
          <cell r="E14" t="str">
            <v>1 x 1000 g</v>
          </cell>
          <cell r="F14">
            <v>1332</v>
          </cell>
          <cell r="G14">
            <v>133032</v>
          </cell>
          <cell r="H14">
            <v>13304</v>
          </cell>
          <cell r="I14" t="str">
            <v>4q2007</v>
          </cell>
        </row>
        <row r="15">
          <cell r="A15" t="str">
            <v>D0181</v>
          </cell>
          <cell r="B15" t="str">
            <v>DP01A</v>
          </cell>
          <cell r="C15" t="str">
            <v>DP0</v>
          </cell>
          <cell r="D15" t="str">
            <v>APROCEL – nízkobielkovinové cestoviny</v>
          </cell>
          <cell r="E15" t="str">
            <v>1 x 250 g</v>
          </cell>
          <cell r="F15">
            <v>2295</v>
          </cell>
          <cell r="G15">
            <v>77796</v>
          </cell>
          <cell r="H15">
            <v>75201.899999999994</v>
          </cell>
          <cell r="I15" t="str">
            <v>4q2007</v>
          </cell>
        </row>
        <row r="16">
          <cell r="A16" t="str">
            <v>D0182</v>
          </cell>
          <cell r="B16" t="str">
            <v>DP01A</v>
          </cell>
          <cell r="C16" t="str">
            <v>DP0</v>
          </cell>
          <cell r="D16" t="str">
            <v>Nízkobielkovinové  OBLÁTKY</v>
          </cell>
          <cell r="E16" t="str">
            <v>1 x 100 g</v>
          </cell>
          <cell r="F16">
            <v>319</v>
          </cell>
          <cell r="G16">
            <v>16622.599999999999</v>
          </cell>
          <cell r="H16">
            <v>15993.6</v>
          </cell>
          <cell r="I16" t="str">
            <v>4q2007</v>
          </cell>
        </row>
        <row r="17">
          <cell r="A17" t="str">
            <v>D0186</v>
          </cell>
          <cell r="B17" t="str">
            <v>DP01A</v>
          </cell>
          <cell r="C17" t="str">
            <v>DP0</v>
          </cell>
          <cell r="D17" t="str">
            <v>SinPhe 1</v>
          </cell>
          <cell r="E17" t="str">
            <v>plv 1x500 g</v>
          </cell>
          <cell r="F17">
            <v>459</v>
          </cell>
          <cell r="G17">
            <v>2655753.5</v>
          </cell>
          <cell r="H17">
            <v>0</v>
          </cell>
          <cell r="I17" t="str">
            <v>4q2007</v>
          </cell>
        </row>
        <row r="18">
          <cell r="A18" t="str">
            <v>D0193</v>
          </cell>
          <cell r="B18" t="str">
            <v>DP01A</v>
          </cell>
          <cell r="C18" t="str">
            <v>DP0</v>
          </cell>
          <cell r="D18" t="str">
            <v>APROMIX-T plus, tmavá nízkobielkovinová múka</v>
          </cell>
          <cell r="E18" t="str">
            <v>1 x 1000 g</v>
          </cell>
          <cell r="F18">
            <v>211</v>
          </cell>
          <cell r="G18">
            <v>20946.400000000001</v>
          </cell>
          <cell r="H18">
            <v>12442.2</v>
          </cell>
          <cell r="I18" t="str">
            <v>4q2007</v>
          </cell>
        </row>
        <row r="19">
          <cell r="A19" t="str">
            <v>D0195</v>
          </cell>
          <cell r="B19" t="str">
            <v>DP01A</v>
          </cell>
          <cell r="C19" t="str">
            <v>DP0</v>
          </cell>
          <cell r="D19" t="str">
            <v>APROMIX-plus, nízkobielkovinová múka</v>
          </cell>
          <cell r="E19" t="str">
            <v>1 x 1000 g</v>
          </cell>
          <cell r="F19">
            <v>168</v>
          </cell>
          <cell r="G19">
            <v>16800</v>
          </cell>
          <cell r="H19">
            <v>9979.2000000000007</v>
          </cell>
          <cell r="I19" t="str">
            <v>4q2007</v>
          </cell>
        </row>
        <row r="20">
          <cell r="A20" t="str">
            <v>D0203</v>
          </cell>
          <cell r="B20" t="str">
            <v>DP01A</v>
          </cell>
          <cell r="C20" t="str">
            <v>DP0</v>
          </cell>
          <cell r="D20" t="str">
            <v>MINAPHLEX</v>
          </cell>
          <cell r="E20" t="str">
            <v>plv 1x 29 g</v>
          </cell>
          <cell r="F20">
            <v>2173</v>
          </cell>
          <cell r="G20">
            <v>532375</v>
          </cell>
          <cell r="H20">
            <v>5432.5</v>
          </cell>
          <cell r="I20" t="str">
            <v>4q2007</v>
          </cell>
        </row>
        <row r="21">
          <cell r="A21" t="str">
            <v>D0208</v>
          </cell>
          <cell r="B21" t="str">
            <v>DP01A</v>
          </cell>
          <cell r="C21" t="str">
            <v>DP0</v>
          </cell>
          <cell r="D21" t="str">
            <v>DAMIN LOW PROTEIN MIX</v>
          </cell>
          <cell r="E21" t="str">
            <v>1 x 400 g</v>
          </cell>
          <cell r="F21">
            <v>664</v>
          </cell>
          <cell r="G21">
            <v>73836.3</v>
          </cell>
          <cell r="H21">
            <v>31672.3</v>
          </cell>
          <cell r="I21" t="str">
            <v>4q2007</v>
          </cell>
        </row>
        <row r="22">
          <cell r="A22" t="str">
            <v>D0209</v>
          </cell>
          <cell r="B22" t="str">
            <v>DP01A</v>
          </cell>
          <cell r="C22" t="str">
            <v>DP0</v>
          </cell>
          <cell r="D22" t="str">
            <v>LOPROFIN PKU milk drink</v>
          </cell>
          <cell r="E22" t="str">
            <v>sol 1x200 ml</v>
          </cell>
          <cell r="F22">
            <v>41</v>
          </cell>
          <cell r="G22">
            <v>984</v>
          </cell>
          <cell r="H22">
            <v>959.4</v>
          </cell>
          <cell r="I22" t="str">
            <v>4q2007</v>
          </cell>
        </row>
        <row r="23">
          <cell r="A23" t="str">
            <v>D0210</v>
          </cell>
          <cell r="B23" t="str">
            <v>DP01A</v>
          </cell>
          <cell r="C23" t="str">
            <v>DP0</v>
          </cell>
          <cell r="D23" t="str">
            <v>LOPROFIN dlhé špagety</v>
          </cell>
          <cell r="E23" t="str">
            <v>1x500 g</v>
          </cell>
          <cell r="F23">
            <v>15</v>
          </cell>
          <cell r="G23">
            <v>1626</v>
          </cell>
          <cell r="H23">
            <v>1624.5</v>
          </cell>
          <cell r="I23" t="str">
            <v>4q2007</v>
          </cell>
        </row>
        <row r="24">
          <cell r="A24" t="str">
            <v>D0211</v>
          </cell>
          <cell r="B24" t="str">
            <v>DP01A</v>
          </cell>
          <cell r="C24" t="str">
            <v>DP0</v>
          </cell>
          <cell r="D24" t="str">
            <v>LOPROFIN low protein herb crackers</v>
          </cell>
          <cell r="E24" t="str">
            <v>1x150 g</v>
          </cell>
          <cell r="F24">
            <v>20</v>
          </cell>
          <cell r="G24">
            <v>2032</v>
          </cell>
          <cell r="H24">
            <v>2030</v>
          </cell>
          <cell r="I24" t="str">
            <v>4q2007</v>
          </cell>
        </row>
        <row r="25">
          <cell r="A25" t="str">
            <v>D0212</v>
          </cell>
          <cell r="B25" t="str">
            <v>DP01A</v>
          </cell>
          <cell r="C25" t="str">
            <v>DP0</v>
          </cell>
          <cell r="D25" t="str">
            <v>MILUPA lp-drink</v>
          </cell>
          <cell r="E25" t="str">
            <v>1 x 400 g</v>
          </cell>
          <cell r="F25">
            <v>135</v>
          </cell>
          <cell r="G25">
            <v>53821.2</v>
          </cell>
          <cell r="H25">
            <v>23057.3</v>
          </cell>
          <cell r="I25" t="str">
            <v>4q2007</v>
          </cell>
        </row>
        <row r="26">
          <cell r="A26" t="str">
            <v>D0213</v>
          </cell>
          <cell r="B26" t="str">
            <v>DP01A</v>
          </cell>
          <cell r="C26" t="str">
            <v>DP0</v>
          </cell>
          <cell r="D26" t="str">
            <v>MILUPA lp-flakes</v>
          </cell>
          <cell r="E26" t="str">
            <v>1x375 g</v>
          </cell>
          <cell r="F26">
            <v>21</v>
          </cell>
          <cell r="G26">
            <v>2883.4</v>
          </cell>
          <cell r="H26">
            <v>2883.4</v>
          </cell>
          <cell r="I26" t="str">
            <v>4q2007</v>
          </cell>
        </row>
        <row r="27">
          <cell r="A27" t="str">
            <v>D0214</v>
          </cell>
          <cell r="B27" t="str">
            <v>DP01A</v>
          </cell>
          <cell r="C27" t="str">
            <v>DP0</v>
          </cell>
          <cell r="D27" t="str">
            <v>MILUPA lp-ringlets</v>
          </cell>
          <cell r="E27" t="str">
            <v>1x250 g</v>
          </cell>
          <cell r="F27">
            <v>86</v>
          </cell>
          <cell r="G27">
            <v>8908</v>
          </cell>
          <cell r="H27">
            <v>8911.1</v>
          </cell>
          <cell r="I27" t="str">
            <v>4q2007</v>
          </cell>
        </row>
        <row r="28">
          <cell r="A28" t="str">
            <v>D0215</v>
          </cell>
          <cell r="B28" t="str">
            <v>DP01A</v>
          </cell>
          <cell r="C28" t="str">
            <v>DP0</v>
          </cell>
          <cell r="D28" t="str">
            <v>MILUPA BASIC-P</v>
          </cell>
          <cell r="E28" t="str">
            <v>plv 1x400 g</v>
          </cell>
          <cell r="F28">
            <v>199</v>
          </cell>
          <cell r="G28">
            <v>289101.59999999998</v>
          </cell>
          <cell r="H28">
            <v>6722.1</v>
          </cell>
          <cell r="I28" t="str">
            <v>4q2007</v>
          </cell>
        </row>
        <row r="29">
          <cell r="A29" t="str">
            <v>D0216</v>
          </cell>
          <cell r="B29" t="str">
            <v>DP01A</v>
          </cell>
          <cell r="C29" t="str">
            <v>DP0</v>
          </cell>
          <cell r="D29" t="str">
            <v>MILUPA PKU 1 MIX</v>
          </cell>
          <cell r="E29" t="str">
            <v>plv 1x1000 g</v>
          </cell>
          <cell r="F29">
            <v>8</v>
          </cell>
          <cell r="G29">
            <v>37558.400000000001</v>
          </cell>
          <cell r="H29">
            <v>0</v>
          </cell>
          <cell r="I29" t="str">
            <v>4q2007</v>
          </cell>
        </row>
        <row r="30">
          <cell r="A30" t="str">
            <v>D0245</v>
          </cell>
          <cell r="B30" t="str">
            <v>DP01A</v>
          </cell>
          <cell r="C30" t="str">
            <v>DP0</v>
          </cell>
          <cell r="D30" t="str">
            <v>SinPhe basic</v>
          </cell>
          <cell r="E30" t="str">
            <v>plv 1x500 g</v>
          </cell>
          <cell r="F30">
            <v>42</v>
          </cell>
          <cell r="G30">
            <v>244102.9</v>
          </cell>
          <cell r="H30">
            <v>0</v>
          </cell>
          <cell r="I30" t="str">
            <v>4q2007</v>
          </cell>
        </row>
        <row r="31">
          <cell r="A31" t="str">
            <v>D0249</v>
          </cell>
          <cell r="B31" t="str">
            <v>DP01A</v>
          </cell>
          <cell r="C31" t="str">
            <v>DP0</v>
          </cell>
          <cell r="D31" t="str">
            <v>EASIPHEN – pomaranč</v>
          </cell>
          <cell r="E31" t="str">
            <v>sol 1x250 ml</v>
          </cell>
          <cell r="F31">
            <v>240</v>
          </cell>
          <cell r="G31">
            <v>112800</v>
          </cell>
          <cell r="H31">
            <v>0</v>
          </cell>
          <cell r="I31" t="str">
            <v>4q2007</v>
          </cell>
        </row>
        <row r="32">
          <cell r="A32" t="str">
            <v>D0250</v>
          </cell>
          <cell r="B32" t="str">
            <v>DP01A</v>
          </cell>
          <cell r="C32" t="str">
            <v>DP0</v>
          </cell>
          <cell r="D32" t="str">
            <v>EASIPHEN lesné plody</v>
          </cell>
          <cell r="E32" t="str">
            <v>sol 1x250 ml</v>
          </cell>
          <cell r="F32">
            <v>760</v>
          </cell>
          <cell r="G32">
            <v>357200</v>
          </cell>
          <cell r="H32">
            <v>0</v>
          </cell>
          <cell r="I32" t="str">
            <v>4q2007</v>
          </cell>
        </row>
        <row r="33">
          <cell r="A33" t="str">
            <v>D0261</v>
          </cell>
          <cell r="B33" t="str">
            <v>DP01A</v>
          </cell>
          <cell r="C33" t="str">
            <v>DP0</v>
          </cell>
          <cell r="D33" t="str">
            <v>MILUPA lp-drink s čokoládovou príchuťou</v>
          </cell>
          <cell r="E33" t="str">
            <v>1 x 320 g</v>
          </cell>
          <cell r="F33">
            <v>14</v>
          </cell>
          <cell r="G33">
            <v>4494.1000000000004</v>
          </cell>
          <cell r="H33">
            <v>1925.3</v>
          </cell>
          <cell r="I33" t="str">
            <v>4q2007</v>
          </cell>
        </row>
        <row r="34">
          <cell r="A34" t="str">
            <v>D0262</v>
          </cell>
          <cell r="B34" t="str">
            <v>DP01A</v>
          </cell>
          <cell r="C34" t="str">
            <v>DP0</v>
          </cell>
          <cell r="D34" t="str">
            <v>MILUPA PKU 3 advanta   </v>
          </cell>
          <cell r="E34" t="str">
            <v>plv 1x500 g</v>
          </cell>
          <cell r="F34">
            <v>271</v>
          </cell>
          <cell r="G34">
            <v>2007736.8</v>
          </cell>
          <cell r="H34">
            <v>0</v>
          </cell>
          <cell r="I34" t="str">
            <v>4q2007</v>
          </cell>
        </row>
        <row r="35">
          <cell r="A35" t="str">
            <v>D0263</v>
          </cell>
          <cell r="B35" t="str">
            <v>DP01A</v>
          </cell>
          <cell r="C35" t="str">
            <v>DP0</v>
          </cell>
          <cell r="D35" t="str">
            <v>MILUPA PKU 3 activa rajčinová</v>
          </cell>
          <cell r="E35" t="str">
            <v>plv 1x45 g</v>
          </cell>
          <cell r="F35">
            <v>44</v>
          </cell>
          <cell r="G35">
            <v>13596</v>
          </cell>
          <cell r="H35">
            <v>484</v>
          </cell>
          <cell r="I35" t="str">
            <v>4q2007</v>
          </cell>
        </row>
        <row r="36">
          <cell r="A36" t="str">
            <v>D0264</v>
          </cell>
          <cell r="B36" t="str">
            <v>DP01A</v>
          </cell>
          <cell r="C36" t="str">
            <v>DP0</v>
          </cell>
          <cell r="D36" t="str">
            <v>MILUPA PKU 2 activa rajčinová     </v>
          </cell>
          <cell r="E36" t="str">
            <v>plv 1x45 g</v>
          </cell>
          <cell r="F36">
            <v>44</v>
          </cell>
          <cell r="G36">
            <v>13596</v>
          </cell>
          <cell r="H36">
            <v>484</v>
          </cell>
          <cell r="I36" t="str">
            <v>4q2007</v>
          </cell>
        </row>
        <row r="37">
          <cell r="A37" t="str">
            <v>D0265</v>
          </cell>
          <cell r="B37" t="str">
            <v>DP01A</v>
          </cell>
          <cell r="C37" t="str">
            <v>DP0</v>
          </cell>
          <cell r="D37" t="str">
            <v>MILUPA PKU 2 secunda      </v>
          </cell>
          <cell r="E37" t="str">
            <v>plv 1x500 g</v>
          </cell>
          <cell r="F37">
            <v>120</v>
          </cell>
          <cell r="G37">
            <v>884115.4</v>
          </cell>
          <cell r="H37">
            <v>0</v>
          </cell>
          <cell r="I37" t="str">
            <v>4q2007</v>
          </cell>
        </row>
        <row r="38">
          <cell r="A38" t="str">
            <v>D0266</v>
          </cell>
          <cell r="B38" t="str">
            <v>DP01A</v>
          </cell>
          <cell r="C38" t="str">
            <v>DP0</v>
          </cell>
          <cell r="D38" t="str">
            <v>EASIPHEN – tropické ovocie</v>
          </cell>
          <cell r="E38" t="str">
            <v>sol 1x250 ml</v>
          </cell>
          <cell r="F38">
            <v>340</v>
          </cell>
          <cell r="G38">
            <v>169200</v>
          </cell>
          <cell r="H38">
            <v>0</v>
          </cell>
          <cell r="I38" t="str">
            <v>4q2007</v>
          </cell>
        </row>
        <row r="39">
          <cell r="A39" t="str">
            <v>D0267</v>
          </cell>
          <cell r="B39" t="str">
            <v>DP01A</v>
          </cell>
          <cell r="C39" t="str">
            <v>DP0</v>
          </cell>
          <cell r="D39" t="str">
            <v>MILUPA PKU 2 prima</v>
          </cell>
          <cell r="E39" t="str">
            <v>plv 1x500 g</v>
          </cell>
          <cell r="F39">
            <v>77</v>
          </cell>
          <cell r="G39">
            <v>488561.4</v>
          </cell>
          <cell r="H39">
            <v>0</v>
          </cell>
          <cell r="I39" t="str">
            <v>4q2007</v>
          </cell>
        </row>
        <row r="40">
          <cell r="A40" t="str">
            <v>D0268</v>
          </cell>
          <cell r="B40" t="str">
            <v>DP01A</v>
          </cell>
          <cell r="C40" t="str">
            <v>DP0</v>
          </cell>
          <cell r="D40" t="str">
            <v>LOPHLEX pomaranč</v>
          </cell>
          <cell r="E40" t="str">
            <v>plv 1x27,8 g</v>
          </cell>
          <cell r="F40">
            <v>182</v>
          </cell>
          <cell r="G40">
            <v>107016</v>
          </cell>
          <cell r="H40">
            <v>364</v>
          </cell>
          <cell r="I40" t="str">
            <v>4q2007</v>
          </cell>
        </row>
        <row r="41">
          <cell r="A41" t="str">
            <v>D0269</v>
          </cell>
          <cell r="B41" t="str">
            <v>DP01A</v>
          </cell>
          <cell r="C41" t="str">
            <v>DP0</v>
          </cell>
          <cell r="D41" t="str">
            <v>LOPHLEX lesné ovocie</v>
          </cell>
          <cell r="E41" t="str">
            <v>plv 1x27,8 g</v>
          </cell>
          <cell r="F41">
            <v>291</v>
          </cell>
          <cell r="G41">
            <v>171108</v>
          </cell>
          <cell r="H41">
            <v>582</v>
          </cell>
          <cell r="I41" t="str">
            <v>4q2007</v>
          </cell>
        </row>
        <row r="42">
          <cell r="A42" t="str">
            <v>D0270</v>
          </cell>
          <cell r="B42" t="str">
            <v>DP01A</v>
          </cell>
          <cell r="C42" t="str">
            <v>DP0</v>
          </cell>
          <cell r="D42" t="str">
            <v>LOPHLEX</v>
          </cell>
          <cell r="E42" t="str">
            <v>plv 1x27,8 g</v>
          </cell>
          <cell r="F42">
            <v>61</v>
          </cell>
          <cell r="G42">
            <v>35868</v>
          </cell>
          <cell r="H42">
            <v>122</v>
          </cell>
          <cell r="I42" t="str">
            <v>4q2007</v>
          </cell>
        </row>
        <row r="43">
          <cell r="A43" t="str">
            <v>D0273</v>
          </cell>
          <cell r="B43" t="str">
            <v>DP01A</v>
          </cell>
          <cell r="C43" t="str">
            <v>DP0</v>
          </cell>
          <cell r="D43" t="str">
            <v>HARIFEN - nízkobielkovinové chrumkavé chlebíčky</v>
          </cell>
          <cell r="E43" t="str">
            <v>1 x 200 g</v>
          </cell>
          <cell r="F43">
            <v>2</v>
          </cell>
          <cell r="G43">
            <v>48</v>
          </cell>
          <cell r="H43">
            <v>348</v>
          </cell>
          <cell r="I43" t="str">
            <v>4q2007</v>
          </cell>
        </row>
        <row r="44">
          <cell r="A44" t="str">
            <v>D0275</v>
          </cell>
          <cell r="B44" t="str">
            <v>DP01A</v>
          </cell>
          <cell r="C44" t="str">
            <v>DP0</v>
          </cell>
          <cell r="D44" t="str">
            <v>HARIFEN - múka na nízkobielkoviný a bezlepkový chlieb a pečivo</v>
          </cell>
          <cell r="E44" t="str">
            <v>1 x 500 g</v>
          </cell>
          <cell r="F44">
            <v>10</v>
          </cell>
          <cell r="G44">
            <v>500</v>
          </cell>
          <cell r="H44">
            <v>1480</v>
          </cell>
          <cell r="I44" t="str">
            <v>4q2007</v>
          </cell>
        </row>
        <row r="45">
          <cell r="A45" t="str">
            <v>D0276</v>
          </cell>
          <cell r="B45" t="str">
            <v>DP01A</v>
          </cell>
          <cell r="C45" t="str">
            <v>DP0</v>
          </cell>
          <cell r="D45" t="str">
            <v>HARIFEN - nízkobielkovinové sušienky s príchťou (kakao, vanilka,karamel)</v>
          </cell>
          <cell r="E45" t="str">
            <v>1 x 125g</v>
          </cell>
          <cell r="F45">
            <v>25</v>
          </cell>
          <cell r="G45">
            <v>374</v>
          </cell>
          <cell r="H45">
            <v>3566</v>
          </cell>
          <cell r="I45" t="str">
            <v>4q2007</v>
          </cell>
        </row>
        <row r="46">
          <cell r="A46" t="str">
            <v>D0285</v>
          </cell>
          <cell r="B46" t="str">
            <v>DP01A</v>
          </cell>
          <cell r="C46" t="str">
            <v>DP0</v>
          </cell>
          <cell r="D46" t="str">
            <v>LOPROFIN low protein ryža</v>
          </cell>
          <cell r="E46" t="str">
            <v>1 x 500 g</v>
          </cell>
          <cell r="F46">
            <v>11</v>
          </cell>
          <cell r="G46">
            <v>659.9</v>
          </cell>
          <cell r="H46">
            <v>1715.7</v>
          </cell>
          <cell r="I46" t="str">
            <v>4q2007</v>
          </cell>
        </row>
        <row r="47">
          <cell r="B47" t="str">
            <v>DP01A Celkom</v>
          </cell>
          <cell r="F47">
            <v>12631</v>
          </cell>
          <cell r="G47">
            <v>18539398.699999999</v>
          </cell>
          <cell r="H47">
            <v>226954.49999999997</v>
          </cell>
        </row>
        <row r="48">
          <cell r="A48" t="str">
            <v>D0108</v>
          </cell>
          <cell r="B48" t="str">
            <v>DP01C</v>
          </cell>
          <cell r="C48" t="str">
            <v>DP0</v>
          </cell>
          <cell r="D48" t="str">
            <v>ILV-AM 2</v>
          </cell>
          <cell r="E48" t="str">
            <v>plv 1x400 g</v>
          </cell>
          <cell r="F48">
            <v>12</v>
          </cell>
          <cell r="G48">
            <v>79288.800000000003</v>
          </cell>
          <cell r="H48">
            <v>0</v>
          </cell>
          <cell r="I48" t="str">
            <v>4q2007</v>
          </cell>
        </row>
        <row r="49">
          <cell r="A49" t="str">
            <v>D0109</v>
          </cell>
          <cell r="B49" t="str">
            <v>DP01C</v>
          </cell>
          <cell r="C49" t="str">
            <v>DP0</v>
          </cell>
          <cell r="D49" t="str">
            <v>ILV-AM 3</v>
          </cell>
          <cell r="E49" t="str">
            <v>plv 1x400 g</v>
          </cell>
          <cell r="F49">
            <v>30</v>
          </cell>
          <cell r="G49">
            <v>198222</v>
          </cell>
          <cell r="H49">
            <v>0</v>
          </cell>
          <cell r="I49" t="str">
            <v>4q2007</v>
          </cell>
        </row>
        <row r="50">
          <cell r="B50" t="str">
            <v>DP01C Celkom</v>
          </cell>
          <cell r="F50">
            <v>42</v>
          </cell>
          <cell r="G50">
            <v>277510.8</v>
          </cell>
          <cell r="H50">
            <v>0</v>
          </cell>
        </row>
        <row r="51">
          <cell r="A51" t="str">
            <v>D0086</v>
          </cell>
          <cell r="B51" t="str">
            <v>DP01D</v>
          </cell>
          <cell r="C51" t="str">
            <v>DP0</v>
          </cell>
          <cell r="D51" t="str">
            <v>MILUPA HOM 2</v>
          </cell>
          <cell r="E51" t="str">
            <v>plv 1x500 g</v>
          </cell>
          <cell r="F51">
            <v>30</v>
          </cell>
          <cell r="G51">
            <v>207216</v>
          </cell>
          <cell r="H51">
            <v>0</v>
          </cell>
          <cell r="I51" t="str">
            <v>4q2007</v>
          </cell>
        </row>
        <row r="52">
          <cell r="A52" t="str">
            <v>D0106</v>
          </cell>
          <cell r="B52" t="str">
            <v>DP01D</v>
          </cell>
          <cell r="C52" t="str">
            <v>DP0</v>
          </cell>
          <cell r="D52" t="str">
            <v>M-AM 3</v>
          </cell>
          <cell r="E52" t="str">
            <v>plv 1x400 g</v>
          </cell>
          <cell r="F52">
            <v>101</v>
          </cell>
          <cell r="G52">
            <v>667347.4</v>
          </cell>
          <cell r="H52">
            <v>0</v>
          </cell>
          <cell r="I52" t="str">
            <v>4q2007</v>
          </cell>
        </row>
        <row r="53">
          <cell r="B53" t="str">
            <v>DP01D Celkom</v>
          </cell>
          <cell r="F53">
            <v>131</v>
          </cell>
          <cell r="G53">
            <v>874563.4</v>
          </cell>
          <cell r="H53">
            <v>0</v>
          </cell>
        </row>
        <row r="54">
          <cell r="A54" t="str">
            <v>D0095</v>
          </cell>
          <cell r="B54" t="str">
            <v>DP01E</v>
          </cell>
          <cell r="C54" t="str">
            <v>DP0</v>
          </cell>
          <cell r="D54" t="str">
            <v>LT-AM 2</v>
          </cell>
          <cell r="E54" t="str">
            <v>plv 1x400 g</v>
          </cell>
          <cell r="F54">
            <v>5</v>
          </cell>
          <cell r="G54">
            <v>37010.5</v>
          </cell>
          <cell r="H54">
            <v>0</v>
          </cell>
          <cell r="I54" t="str">
            <v>4q2007</v>
          </cell>
        </row>
        <row r="55">
          <cell r="B55" t="str">
            <v>DP01E Celkom</v>
          </cell>
          <cell r="F55">
            <v>5</v>
          </cell>
          <cell r="G55">
            <v>37010.5</v>
          </cell>
          <cell r="H55">
            <v>0</v>
          </cell>
        </row>
        <row r="56">
          <cell r="A56" t="str">
            <v>D0102</v>
          </cell>
          <cell r="B56" t="str">
            <v>DP01G</v>
          </cell>
          <cell r="C56" t="str">
            <v>DP0</v>
          </cell>
          <cell r="D56" t="str">
            <v>IMTV-AM 2</v>
          </cell>
          <cell r="E56" t="str">
            <v>plv 1x400 g</v>
          </cell>
          <cell r="F56">
            <v>14</v>
          </cell>
          <cell r="G56">
            <v>92503.6</v>
          </cell>
          <cell r="H56">
            <v>0</v>
          </cell>
          <cell r="I56" t="str">
            <v>4q2007</v>
          </cell>
        </row>
        <row r="57">
          <cell r="A57" t="str">
            <v>D0103</v>
          </cell>
          <cell r="B57" t="str">
            <v>DP01G</v>
          </cell>
          <cell r="C57" t="str">
            <v>DP0</v>
          </cell>
          <cell r="D57" t="str">
            <v>IMTV-AM 3</v>
          </cell>
          <cell r="E57" t="str">
            <v>plv 1x400 g</v>
          </cell>
          <cell r="F57">
            <v>11</v>
          </cell>
          <cell r="G57">
            <v>72681.399999999994</v>
          </cell>
          <cell r="H57">
            <v>0</v>
          </cell>
          <cell r="I57" t="str">
            <v>4q2007</v>
          </cell>
        </row>
        <row r="58">
          <cell r="A58" t="str">
            <v>D0196</v>
          </cell>
          <cell r="B58" t="str">
            <v>DP01G</v>
          </cell>
          <cell r="C58" t="str">
            <v>DP0</v>
          </cell>
          <cell r="D58" t="str">
            <v>IMTV-AM 1</v>
          </cell>
          <cell r="E58" t="str">
            <v>plv 1x400 g</v>
          </cell>
          <cell r="F58">
            <v>1</v>
          </cell>
          <cell r="G58">
            <v>5272.7</v>
          </cell>
          <cell r="H58">
            <v>0</v>
          </cell>
          <cell r="I58" t="str">
            <v>4q2007</v>
          </cell>
        </row>
        <row r="59">
          <cell r="A59" t="str">
            <v>D0247</v>
          </cell>
          <cell r="B59" t="str">
            <v>DP01G</v>
          </cell>
          <cell r="C59" t="str">
            <v>DP0</v>
          </cell>
          <cell r="D59" t="str">
            <v>MILUPA OS 2</v>
          </cell>
          <cell r="E59" t="str">
            <v>plv 1x500 g</v>
          </cell>
          <cell r="F59">
            <v>5</v>
          </cell>
          <cell r="G59">
            <v>29928.5</v>
          </cell>
          <cell r="H59">
            <v>12</v>
          </cell>
          <cell r="I59" t="str">
            <v>4q2007</v>
          </cell>
        </row>
        <row r="60">
          <cell r="B60" t="str">
            <v>DP01G Celkom</v>
          </cell>
          <cell r="F60">
            <v>31</v>
          </cell>
          <cell r="G60">
            <v>200386.2</v>
          </cell>
          <cell r="H60">
            <v>12</v>
          </cell>
        </row>
        <row r="61">
          <cell r="A61" t="str">
            <v>D0097</v>
          </cell>
          <cell r="B61" t="str">
            <v>DP01H</v>
          </cell>
          <cell r="C61" t="str">
            <v>DP0</v>
          </cell>
          <cell r="D61" t="str">
            <v>E-AM 2</v>
          </cell>
          <cell r="E61" t="str">
            <v>plv 1x400 g</v>
          </cell>
          <cell r="F61">
            <v>8</v>
          </cell>
          <cell r="G61">
            <v>56896</v>
          </cell>
          <cell r="H61">
            <v>0</v>
          </cell>
          <cell r="I61" t="str">
            <v>4q2007</v>
          </cell>
        </row>
        <row r="62">
          <cell r="B62" t="str">
            <v>DP01H Celkom</v>
          </cell>
          <cell r="F62">
            <v>8</v>
          </cell>
          <cell r="G62">
            <v>56896</v>
          </cell>
          <cell r="H62">
            <v>0</v>
          </cell>
        </row>
        <row r="63">
          <cell r="A63" t="str">
            <v>D0197</v>
          </cell>
          <cell r="B63" t="str">
            <v>DP01I</v>
          </cell>
          <cell r="C63" t="str">
            <v>DP0</v>
          </cell>
          <cell r="D63" t="str">
            <v>KETOCAL</v>
          </cell>
          <cell r="E63" t="str">
            <v>plv 1 x 300 g</v>
          </cell>
          <cell r="F63">
            <v>5</v>
          </cell>
          <cell r="G63">
            <v>8570</v>
          </cell>
          <cell r="H63">
            <v>175</v>
          </cell>
          <cell r="I63" t="str">
            <v>4q2007</v>
          </cell>
        </row>
        <row r="64">
          <cell r="A64" t="str">
            <v>D0198</v>
          </cell>
          <cell r="B64" t="str">
            <v>DP01I</v>
          </cell>
          <cell r="C64" t="str">
            <v>DP0</v>
          </cell>
          <cell r="D64" t="str">
            <v>KETOCAL - vanilka</v>
          </cell>
          <cell r="E64" t="str">
            <v>plv 1 x 300 g</v>
          </cell>
          <cell r="F64">
            <v>48</v>
          </cell>
          <cell r="G64">
            <v>70274</v>
          </cell>
          <cell r="H64">
            <v>1680</v>
          </cell>
          <cell r="I64" t="str">
            <v>4q2007</v>
          </cell>
        </row>
        <row r="65">
          <cell r="B65" t="str">
            <v>DP01I Celkom</v>
          </cell>
          <cell r="F65">
            <v>53</v>
          </cell>
          <cell r="G65">
            <v>78844</v>
          </cell>
          <cell r="H65">
            <v>1855</v>
          </cell>
        </row>
        <row r="66">
          <cell r="A66" t="str">
            <v>D0170</v>
          </cell>
          <cell r="B66" t="str">
            <v>DP01J</v>
          </cell>
          <cell r="C66" t="str">
            <v>DP0</v>
          </cell>
          <cell r="D66" t="str">
            <v>PROMIX-CH, zmes na prípravu bezlepkového chleba</v>
          </cell>
          <cell r="E66" t="str">
            <v>plv 1 x 1000 g</v>
          </cell>
          <cell r="F66">
            <v>13050</v>
          </cell>
          <cell r="G66">
            <v>1004875.44</v>
          </cell>
          <cell r="H66">
            <v>417144.88</v>
          </cell>
          <cell r="I66" t="str">
            <v>4q2007</v>
          </cell>
        </row>
        <row r="67">
          <cell r="A67" t="str">
            <v>D0171</v>
          </cell>
          <cell r="B67" t="str">
            <v>DP01J</v>
          </cell>
          <cell r="C67" t="str">
            <v>DP0</v>
          </cell>
          <cell r="D67" t="str">
            <v>PROMIX-PK, zmes na bezlepkové pečivo</v>
          </cell>
          <cell r="E67" t="str">
            <v>plv 1 x 1000 g</v>
          </cell>
          <cell r="F67">
            <v>9190</v>
          </cell>
          <cell r="G67">
            <v>710210.44</v>
          </cell>
          <cell r="H67">
            <v>293561.48</v>
          </cell>
          <cell r="I67" t="str">
            <v>4q2007</v>
          </cell>
        </row>
        <row r="68">
          <cell r="A68" t="str">
            <v>D0172</v>
          </cell>
          <cell r="B68" t="str">
            <v>DP01J</v>
          </cell>
          <cell r="C68" t="str">
            <v>DP0</v>
          </cell>
          <cell r="D68" t="str">
            <v>PROMIX-UNI, univerzálna bezlepková múka</v>
          </cell>
          <cell r="E68" t="str">
            <v>plv 1 x 1000 g</v>
          </cell>
          <cell r="F68">
            <v>15154</v>
          </cell>
          <cell r="G68">
            <v>1503615.78</v>
          </cell>
          <cell r="H68">
            <v>435825.6</v>
          </cell>
          <cell r="I68" t="str">
            <v>4q2007</v>
          </cell>
        </row>
        <row r="69">
          <cell r="A69" t="str">
            <v>D0173</v>
          </cell>
          <cell r="B69" t="str">
            <v>DP01J</v>
          </cell>
          <cell r="C69" t="str">
            <v>DP0</v>
          </cell>
          <cell r="D69" t="str">
            <v>PROMIX-T, univerzálna bezlepková múka tmavá</v>
          </cell>
          <cell r="E69" t="str">
            <v>plv 1 x 1000 g</v>
          </cell>
          <cell r="F69">
            <v>4758</v>
          </cell>
          <cell r="G69">
            <v>466024.1</v>
          </cell>
          <cell r="H69">
            <v>136797</v>
          </cell>
          <cell r="I69" t="str">
            <v>4q2007</v>
          </cell>
        </row>
        <row r="70">
          <cell r="A70" t="str">
            <v>D0175</v>
          </cell>
          <cell r="B70" t="str">
            <v>DP01J</v>
          </cell>
          <cell r="C70" t="str">
            <v>DP0</v>
          </cell>
          <cell r="D70" t="str">
            <v>KRUPICA bezlepková</v>
          </cell>
          <cell r="E70" t="str">
            <v>plv 1 x 500 g</v>
          </cell>
          <cell r="F70">
            <v>1658</v>
          </cell>
          <cell r="G70">
            <v>82590</v>
          </cell>
          <cell r="H70">
            <v>86289.5</v>
          </cell>
          <cell r="I70" t="str">
            <v>4q2007</v>
          </cell>
        </row>
        <row r="71">
          <cell r="A71" t="str">
            <v>D0180</v>
          </cell>
          <cell r="B71" t="str">
            <v>DP01J</v>
          </cell>
          <cell r="C71" t="str">
            <v>DP0</v>
          </cell>
          <cell r="D71" t="str">
            <v>PROCEL – bezlepkové cestoviny</v>
          </cell>
          <cell r="E71" t="str">
            <v>1x250 g</v>
          </cell>
          <cell r="F71">
            <v>30651</v>
          </cell>
          <cell r="G71">
            <v>1013093.68</v>
          </cell>
          <cell r="H71">
            <v>1019819.48</v>
          </cell>
          <cell r="I71" t="str">
            <v>4q2007</v>
          </cell>
        </row>
        <row r="72">
          <cell r="A72" t="str">
            <v>D0185</v>
          </cell>
          <cell r="B72" t="str">
            <v>DP01J</v>
          </cell>
          <cell r="C72" t="str">
            <v>DP0</v>
          </cell>
          <cell r="D72" t="str">
            <v>Chlieb bezlepkový svetlý (trvanlivý)</v>
          </cell>
          <cell r="E72" t="str">
            <v>1x360 g</v>
          </cell>
          <cell r="F72">
            <v>939</v>
          </cell>
          <cell r="G72">
            <v>43571.4</v>
          </cell>
          <cell r="H72">
            <v>41583.9</v>
          </cell>
          <cell r="I72" t="str">
            <v>4q2007</v>
          </cell>
        </row>
        <row r="73">
          <cell r="A73" t="str">
            <v>D0188</v>
          </cell>
          <cell r="B73" t="str">
            <v>DP01J</v>
          </cell>
          <cell r="C73" t="str">
            <v>DP0</v>
          </cell>
          <cell r="D73" t="str">
            <v>BEZLEPKOVÝ CHLIEB mazanec</v>
          </cell>
          <cell r="E73" t="str">
            <v>plv 1x500 g</v>
          </cell>
          <cell r="F73">
            <v>508</v>
          </cell>
          <cell r="G73">
            <v>19793.5</v>
          </cell>
          <cell r="H73">
            <v>6192.1</v>
          </cell>
          <cell r="I73" t="str">
            <v>4q2007</v>
          </cell>
        </row>
        <row r="74">
          <cell r="A74" t="str">
            <v>D0189</v>
          </cell>
          <cell r="B74" t="str">
            <v>DP01J</v>
          </cell>
          <cell r="C74" t="str">
            <v>DP0</v>
          </cell>
          <cell r="D74" t="str">
            <v>BEZLEPKOVÝ CHLIEB tmavý</v>
          </cell>
          <cell r="E74" t="str">
            <v>plv 1x500 g</v>
          </cell>
          <cell r="F74">
            <v>1459</v>
          </cell>
          <cell r="G74">
            <v>56718.7</v>
          </cell>
          <cell r="H74">
            <v>17718.5</v>
          </cell>
          <cell r="I74" t="str">
            <v>4q2007</v>
          </cell>
        </row>
        <row r="75">
          <cell r="A75" t="str">
            <v>D0190</v>
          </cell>
          <cell r="B75" t="str">
            <v>DP01J</v>
          </cell>
          <cell r="C75" t="str">
            <v>DP0</v>
          </cell>
          <cell r="D75" t="str">
            <v>BEZLEPKOVÝ CHLIEB svetlý</v>
          </cell>
          <cell r="E75" t="str">
            <v>plv 1x500 g</v>
          </cell>
          <cell r="F75">
            <v>1011</v>
          </cell>
          <cell r="G75">
            <v>38854.400000000001</v>
          </cell>
          <cell r="H75">
            <v>12133.6</v>
          </cell>
          <cell r="I75" t="str">
            <v>4q2007</v>
          </cell>
        </row>
        <row r="76">
          <cell r="A76" t="str">
            <v>D0194</v>
          </cell>
          <cell r="B76" t="str">
            <v>DP01J</v>
          </cell>
          <cell r="C76" t="str">
            <v>DP0</v>
          </cell>
          <cell r="D76" t="str">
            <v>PROMIX-FORTE, silná bezlepková múka</v>
          </cell>
          <cell r="E76" t="str">
            <v>plv 1 x 1000 g</v>
          </cell>
          <cell r="F76">
            <v>4213</v>
          </cell>
          <cell r="G76">
            <v>416731.2</v>
          </cell>
          <cell r="H76">
            <v>249913.4</v>
          </cell>
          <cell r="I76" t="str">
            <v>4q2007</v>
          </cell>
        </row>
        <row r="77">
          <cell r="A77" t="str">
            <v>D0251</v>
          </cell>
          <cell r="B77" t="str">
            <v>DP01J</v>
          </cell>
          <cell r="C77" t="str">
            <v>DP0</v>
          </cell>
          <cell r="D77" t="str">
            <v>Chlieb bezlepkový tmavý (trvanlivý)</v>
          </cell>
          <cell r="E77" t="str">
            <v>1x360 g</v>
          </cell>
          <cell r="F77">
            <v>869</v>
          </cell>
          <cell r="G77">
            <v>40705.800000000003</v>
          </cell>
          <cell r="H77">
            <v>38989.699999999997</v>
          </cell>
          <cell r="I77" t="str">
            <v>4q2007</v>
          </cell>
        </row>
        <row r="78">
          <cell r="A78" t="str">
            <v>D0252</v>
          </cell>
          <cell r="B78" t="str">
            <v>DP01J</v>
          </cell>
          <cell r="C78" t="str">
            <v>DP0</v>
          </cell>
          <cell r="D78" t="str">
            <v>Limky -diétne keksy vanilkové máčané (bezlepkové)</v>
          </cell>
          <cell r="E78" t="str">
            <v>1x150 g</v>
          </cell>
          <cell r="F78">
            <v>462</v>
          </cell>
          <cell r="G78">
            <v>2956.2</v>
          </cell>
          <cell r="H78">
            <v>25353</v>
          </cell>
          <cell r="I78" t="str">
            <v>4q2007</v>
          </cell>
        </row>
        <row r="79">
          <cell r="A79" t="str">
            <v>D0253</v>
          </cell>
          <cell r="B79" t="str">
            <v>DP01J</v>
          </cell>
          <cell r="C79" t="str">
            <v>DP0</v>
          </cell>
          <cell r="D79" t="str">
            <v>Limky -diétne keksy kakaové plnené (bezlepkové)</v>
          </cell>
          <cell r="E79" t="str">
            <v>1x150 g</v>
          </cell>
          <cell r="F79">
            <v>676</v>
          </cell>
          <cell r="G79">
            <v>4318.5</v>
          </cell>
          <cell r="H79">
            <v>37039.1</v>
          </cell>
          <cell r="I79" t="str">
            <v>4q2007</v>
          </cell>
        </row>
        <row r="80">
          <cell r="A80" t="str">
            <v>D0254</v>
          </cell>
          <cell r="B80" t="str">
            <v>DP01J</v>
          </cell>
          <cell r="C80" t="str">
            <v>DP0</v>
          </cell>
          <cell r="D80" t="str">
            <v>Strúhanka bezlepková pečivová</v>
          </cell>
          <cell r="E80" t="str">
            <v>plv 1x350 g</v>
          </cell>
          <cell r="F80">
            <v>3853</v>
          </cell>
          <cell r="G80">
            <v>133778.07999999999</v>
          </cell>
          <cell r="H80">
            <v>182760.9</v>
          </cell>
          <cell r="I80" t="str">
            <v>4q2007</v>
          </cell>
        </row>
        <row r="81">
          <cell r="A81" t="str">
            <v>D0256</v>
          </cell>
          <cell r="B81" t="str">
            <v>DP01J</v>
          </cell>
          <cell r="C81" t="str">
            <v>DP0</v>
          </cell>
          <cell r="D81" t="str">
            <v>Cícerová múka instantná</v>
          </cell>
          <cell r="E81" t="str">
            <v>plv 1x500 g</v>
          </cell>
          <cell r="F81">
            <v>22</v>
          </cell>
          <cell r="G81">
            <v>858</v>
          </cell>
          <cell r="H81">
            <v>945.9</v>
          </cell>
          <cell r="I81" t="str">
            <v>4q2007</v>
          </cell>
        </row>
        <row r="82">
          <cell r="A82" t="str">
            <v>D0271</v>
          </cell>
          <cell r="B82" t="str">
            <v>DP01J</v>
          </cell>
          <cell r="C82" t="str">
            <v>DP0</v>
          </cell>
          <cell r="D82" t="str">
            <v>Linia natural</v>
          </cell>
          <cell r="E82" t="str">
            <v>375 g</v>
          </cell>
          <cell r="F82">
            <v>41</v>
          </cell>
          <cell r="G82">
            <v>2008.9</v>
          </cell>
          <cell r="H82">
            <v>1505.4</v>
          </cell>
          <cell r="I82" t="str">
            <v>4q2007</v>
          </cell>
        </row>
        <row r="83">
          <cell r="A83" t="str">
            <v>D0272</v>
          </cell>
          <cell r="B83" t="str">
            <v>DP01J</v>
          </cell>
          <cell r="C83" t="str">
            <v>DP0</v>
          </cell>
          <cell r="D83" t="str">
            <v>Knedľa bezlepková v prášku</v>
          </cell>
          <cell r="E83" t="str">
            <v>plv 250 g</v>
          </cell>
          <cell r="F83">
            <v>680</v>
          </cell>
          <cell r="G83">
            <v>13182.5</v>
          </cell>
          <cell r="H83">
            <v>11226.4</v>
          </cell>
          <cell r="I83" t="str">
            <v>4q2007</v>
          </cell>
        </row>
        <row r="84">
          <cell r="A84" t="str">
            <v>D0289</v>
          </cell>
          <cell r="B84" t="str">
            <v>DP01J</v>
          </cell>
          <cell r="C84" t="str">
            <v>DP0</v>
          </cell>
          <cell r="D84" t="str">
            <v>Bezgluténové musli</v>
          </cell>
          <cell r="E84" t="str">
            <v>375 g</v>
          </cell>
          <cell r="F84">
            <v>224</v>
          </cell>
          <cell r="G84">
            <v>3321.1</v>
          </cell>
          <cell r="H84">
            <v>29841.3</v>
          </cell>
          <cell r="I84" t="str">
            <v>4q2007</v>
          </cell>
        </row>
        <row r="85">
          <cell r="A85" t="str">
            <v>D0290</v>
          </cell>
          <cell r="B85" t="str">
            <v>DP01J</v>
          </cell>
          <cell r="C85" t="str">
            <v>DP0</v>
          </cell>
          <cell r="D85" t="str">
            <v>Pan Carré - bezlepkový biely chlieb</v>
          </cell>
          <cell r="E85" t="str">
            <v>400 g</v>
          </cell>
          <cell r="F85">
            <v>3458</v>
          </cell>
          <cell r="G85">
            <v>169474.1</v>
          </cell>
          <cell r="H85">
            <v>217089.7</v>
          </cell>
          <cell r="I85" t="str">
            <v>4q2007</v>
          </cell>
        </row>
        <row r="86">
          <cell r="A86" t="str">
            <v>D0291</v>
          </cell>
          <cell r="B86" t="str">
            <v>DP01J</v>
          </cell>
          <cell r="C86" t="str">
            <v>DP0</v>
          </cell>
          <cell r="D86" t="str">
            <v>Rustico - bezlepkový plnozrnný chlieb</v>
          </cell>
          <cell r="E86" t="str">
            <v>400 g</v>
          </cell>
          <cell r="F86">
            <v>1357</v>
          </cell>
          <cell r="G86">
            <v>66336.2</v>
          </cell>
          <cell r="H86">
            <v>101447.8</v>
          </cell>
          <cell r="I86" t="str">
            <v>4q2007</v>
          </cell>
        </row>
        <row r="87">
          <cell r="A87" t="str">
            <v>D0292</v>
          </cell>
          <cell r="B87" t="str">
            <v>DP01J</v>
          </cell>
          <cell r="C87" t="str">
            <v>DP0</v>
          </cell>
          <cell r="D87" t="str">
            <v>Panini - bezlepkové biele žemle</v>
          </cell>
          <cell r="E87" t="str">
            <v>200 g</v>
          </cell>
          <cell r="F87">
            <v>1794</v>
          </cell>
          <cell r="G87">
            <v>44113.3</v>
          </cell>
          <cell r="H87">
            <v>92668.4</v>
          </cell>
          <cell r="I87" t="str">
            <v>4q2007</v>
          </cell>
        </row>
        <row r="88">
          <cell r="A88" t="str">
            <v>D0293</v>
          </cell>
          <cell r="B88" t="str">
            <v>DP01J</v>
          </cell>
          <cell r="C88" t="str">
            <v>DP0</v>
          </cell>
          <cell r="D88" t="str">
            <v>Bon Matin - bezlepkové sladké žemle</v>
          </cell>
          <cell r="E88" t="str">
            <v>200 g</v>
          </cell>
          <cell r="F88">
            <v>2880</v>
          </cell>
          <cell r="G88">
            <v>70658.2</v>
          </cell>
          <cell r="H88">
            <v>183020.1</v>
          </cell>
          <cell r="I88" t="str">
            <v>4q2007</v>
          </cell>
        </row>
        <row r="89">
          <cell r="A89" t="str">
            <v>D0294</v>
          </cell>
          <cell r="B89" t="str">
            <v>DP01J</v>
          </cell>
          <cell r="C89" t="str">
            <v>DP0</v>
          </cell>
          <cell r="D89" t="str">
            <v>Spaghetti - bezlepkové cestoviny</v>
          </cell>
          <cell r="E89" t="str">
            <v>500 g</v>
          </cell>
          <cell r="F89">
            <v>991</v>
          </cell>
          <cell r="G89">
            <v>60832.3</v>
          </cell>
          <cell r="H89">
            <v>65636.800000000003</v>
          </cell>
          <cell r="I89" t="str">
            <v>4q2007</v>
          </cell>
        </row>
        <row r="90">
          <cell r="A90" t="str">
            <v>D0295</v>
          </cell>
          <cell r="B90" t="str">
            <v>DP01J</v>
          </cell>
          <cell r="C90" t="str">
            <v>DP0</v>
          </cell>
          <cell r="D90" t="str">
            <v>Fusilli - bezlepkové cestoviny</v>
          </cell>
          <cell r="E90" t="str">
            <v>500 g</v>
          </cell>
          <cell r="F90">
            <v>918</v>
          </cell>
          <cell r="G90">
            <v>56109.9</v>
          </cell>
          <cell r="H90">
            <v>60770.400000000001</v>
          </cell>
          <cell r="I90" t="str">
            <v>4q2007</v>
          </cell>
        </row>
        <row r="91">
          <cell r="A91" t="str">
            <v>D0296</v>
          </cell>
          <cell r="B91" t="str">
            <v>DP01J</v>
          </cell>
          <cell r="C91" t="str">
            <v>DP0</v>
          </cell>
          <cell r="D91" t="str">
            <v>Quadritos - bezlepkové kakaové oblátky</v>
          </cell>
          <cell r="E91" t="str">
            <v>40 g</v>
          </cell>
          <cell r="F91">
            <v>281</v>
          </cell>
          <cell r="G91">
            <v>1040</v>
          </cell>
          <cell r="H91">
            <v>9725.2999999999993</v>
          </cell>
          <cell r="I91" t="str">
            <v>4q2007</v>
          </cell>
        </row>
        <row r="92">
          <cell r="A92" t="str">
            <v>D0297</v>
          </cell>
          <cell r="B92" t="str">
            <v>DP01J</v>
          </cell>
          <cell r="C92" t="str">
            <v>DP0</v>
          </cell>
          <cell r="D92" t="str">
            <v>Salinis - bezlepkové praclíky</v>
          </cell>
          <cell r="E92" t="str">
            <v>60 g</v>
          </cell>
          <cell r="F92">
            <v>804</v>
          </cell>
          <cell r="G92">
            <v>3188</v>
          </cell>
          <cell r="H92">
            <v>29211.5</v>
          </cell>
          <cell r="I92" t="str">
            <v>4q2007</v>
          </cell>
        </row>
        <row r="93">
          <cell r="A93" t="str">
            <v>D0298</v>
          </cell>
          <cell r="B93" t="str">
            <v>DP01J</v>
          </cell>
          <cell r="C93" t="str">
            <v>DP0</v>
          </cell>
          <cell r="D93" t="str">
            <v>Mix B - bezlepková zmes na prípravu chleba</v>
          </cell>
          <cell r="E93" t="str">
            <v>plv 1000 g</v>
          </cell>
          <cell r="F93">
            <v>2331</v>
          </cell>
          <cell r="G93">
            <v>166445.29999999999</v>
          </cell>
          <cell r="H93">
            <v>196894.1</v>
          </cell>
          <cell r="I93" t="str">
            <v>4q2007</v>
          </cell>
        </row>
        <row r="94">
          <cell r="A94" t="str">
            <v>D0299</v>
          </cell>
          <cell r="B94" t="str">
            <v>DP01J</v>
          </cell>
          <cell r="C94" t="str">
            <v>DP0</v>
          </cell>
          <cell r="D94" t="str">
            <v>Bezlepkové sušienky</v>
          </cell>
          <cell r="E94" t="str">
            <v>350 g</v>
          </cell>
          <cell r="F94">
            <v>194</v>
          </cell>
          <cell r="G94">
            <v>837.1</v>
          </cell>
          <cell r="H94">
            <v>7540.8</v>
          </cell>
          <cell r="I94" t="str">
            <v>4q2007</v>
          </cell>
        </row>
        <row r="95">
          <cell r="B95" t="str">
            <v>DP01J Celkom</v>
          </cell>
          <cell r="F95">
            <v>104426</v>
          </cell>
          <cell r="G95">
            <v>6196242.120000001</v>
          </cell>
          <cell r="H95">
            <v>4008646.0399999991</v>
          </cell>
        </row>
        <row r="96">
          <cell r="A96" t="str">
            <v>D0002</v>
          </cell>
          <cell r="B96" t="str">
            <v>DP02A</v>
          </cell>
          <cell r="C96" t="str">
            <v>DP0</v>
          </cell>
          <cell r="D96" t="str">
            <v>ENSURE, čokoládová príchuť</v>
          </cell>
          <cell r="E96" t="str">
            <v>sol 1x250 ml</v>
          </cell>
          <cell r="F96">
            <v>30</v>
          </cell>
          <cell r="G96">
            <v>1338</v>
          </cell>
          <cell r="H96">
            <v>849.6</v>
          </cell>
          <cell r="I96" t="str">
            <v>4q2007</v>
          </cell>
        </row>
        <row r="97">
          <cell r="A97" t="str">
            <v>D0011</v>
          </cell>
          <cell r="B97" t="str">
            <v>DP02A</v>
          </cell>
          <cell r="C97" t="str">
            <v>DP0</v>
          </cell>
          <cell r="D97" t="str">
            <v>PAEDIASURE, vanilková príchuť</v>
          </cell>
          <cell r="E97" t="str">
            <v>sol 1x200 ml</v>
          </cell>
          <cell r="F97">
            <v>10</v>
          </cell>
          <cell r="G97">
            <v>356</v>
          </cell>
          <cell r="H97">
            <v>147</v>
          </cell>
          <cell r="I97" t="str">
            <v>4q2007</v>
          </cell>
        </row>
        <row r="98">
          <cell r="A98" t="str">
            <v>D0025</v>
          </cell>
          <cell r="B98" t="str">
            <v>DP02A</v>
          </cell>
          <cell r="C98" t="str">
            <v>DP0</v>
          </cell>
          <cell r="D98" t="str">
            <v>FRESUBIN ORIGINAL, príchuť neutrálna</v>
          </cell>
          <cell r="E98" t="str">
            <v>sol 1x500 ml</v>
          </cell>
          <cell r="F98">
            <v>518</v>
          </cell>
          <cell r="G98">
            <v>46099.4</v>
          </cell>
          <cell r="H98">
            <v>0</v>
          </cell>
          <cell r="I98" t="str">
            <v>4q2007</v>
          </cell>
        </row>
        <row r="99">
          <cell r="A99" t="str">
            <v>D0026</v>
          </cell>
          <cell r="B99" t="str">
            <v>DP02A</v>
          </cell>
          <cell r="C99" t="str">
            <v>DP0</v>
          </cell>
          <cell r="D99" t="str">
            <v>FRESUBIN ORIGINAL, príchuť oriešková</v>
          </cell>
          <cell r="E99" t="str">
            <v>sol 1x500 ml</v>
          </cell>
          <cell r="F99">
            <v>131</v>
          </cell>
          <cell r="G99">
            <v>11021</v>
          </cell>
          <cell r="H99">
            <v>0</v>
          </cell>
          <cell r="I99" t="str">
            <v>4q2007</v>
          </cell>
        </row>
        <row r="100">
          <cell r="A100" t="str">
            <v>D0027</v>
          </cell>
          <cell r="B100" t="str">
            <v>DP02A</v>
          </cell>
          <cell r="C100" t="str">
            <v>DP0</v>
          </cell>
          <cell r="D100" t="str">
            <v>FRESUBIN ORIGINAL, príchuť čokoládová</v>
          </cell>
          <cell r="E100" t="str">
            <v>sol 1x500 ml</v>
          </cell>
          <cell r="F100">
            <v>950</v>
          </cell>
          <cell r="G100">
            <v>84624</v>
          </cell>
          <cell r="H100">
            <v>0</v>
          </cell>
          <cell r="I100" t="str">
            <v>4q2007</v>
          </cell>
        </row>
        <row r="101">
          <cell r="A101" t="str">
            <v>D0028</v>
          </cell>
          <cell r="B101" t="str">
            <v>DP02A</v>
          </cell>
          <cell r="C101" t="str">
            <v>DP0</v>
          </cell>
          <cell r="D101" t="str">
            <v>FRESUBIN ORIGINAL, príchuť vanilková</v>
          </cell>
          <cell r="E101" t="str">
            <v>sol 1x500 ml</v>
          </cell>
          <cell r="F101">
            <v>150</v>
          </cell>
          <cell r="G101">
            <v>13307.5</v>
          </cell>
          <cell r="H101">
            <v>0</v>
          </cell>
          <cell r="I101" t="str">
            <v>4q2007</v>
          </cell>
        </row>
        <row r="102">
          <cell r="A102" t="str">
            <v>D0029</v>
          </cell>
          <cell r="B102" t="str">
            <v>DP02A</v>
          </cell>
          <cell r="C102" t="str">
            <v>DP0</v>
          </cell>
          <cell r="D102" t="str">
            <v>FRESUBIN ORIGINAL, príchuť broskyňová</v>
          </cell>
          <cell r="E102" t="str">
            <v>sol 1x500 ml</v>
          </cell>
          <cell r="F102">
            <v>204</v>
          </cell>
          <cell r="G102">
            <v>18052.599999999999</v>
          </cell>
          <cell r="H102">
            <v>0</v>
          </cell>
          <cell r="I102" t="str">
            <v>4q2007</v>
          </cell>
        </row>
        <row r="103">
          <cell r="A103" t="str">
            <v>D0030</v>
          </cell>
          <cell r="B103" t="str">
            <v>DP02A</v>
          </cell>
          <cell r="C103" t="str">
            <v>DP0</v>
          </cell>
          <cell r="D103" t="str">
            <v>FRESUBIN ORIGINAL DRINK, príchuť oriešková</v>
          </cell>
          <cell r="E103" t="str">
            <v>sol 1x200 ml</v>
          </cell>
          <cell r="F103">
            <v>225</v>
          </cell>
          <cell r="G103">
            <v>8010</v>
          </cell>
          <cell r="H103">
            <v>22.5</v>
          </cell>
          <cell r="I103" t="str">
            <v>4q2007</v>
          </cell>
        </row>
        <row r="104">
          <cell r="A104" t="str">
            <v>D0031</v>
          </cell>
          <cell r="B104" t="str">
            <v>DP02A</v>
          </cell>
          <cell r="C104" t="str">
            <v>DP0</v>
          </cell>
          <cell r="D104" t="str">
            <v>FRESUBIN ORIGINAL DRINK, príchuť čokoládová</v>
          </cell>
          <cell r="E104" t="str">
            <v>sol 1x200 ml</v>
          </cell>
          <cell r="F104">
            <v>1401</v>
          </cell>
          <cell r="G104">
            <v>49778.8</v>
          </cell>
          <cell r="H104">
            <v>140.1</v>
          </cell>
          <cell r="I104" t="str">
            <v>4q2007</v>
          </cell>
        </row>
        <row r="105">
          <cell r="A105" t="str">
            <v>D0032</v>
          </cell>
          <cell r="B105" t="str">
            <v>DP02A</v>
          </cell>
          <cell r="C105" t="str">
            <v>DP0</v>
          </cell>
          <cell r="D105" t="str">
            <v>FRESUBIN ORIGINAL DRINK, príchuť vanilková</v>
          </cell>
          <cell r="E105" t="str">
            <v>sol 1x200 ml</v>
          </cell>
          <cell r="F105">
            <v>797</v>
          </cell>
          <cell r="G105">
            <v>28363.200000000001</v>
          </cell>
          <cell r="H105">
            <v>79.7</v>
          </cell>
          <cell r="I105" t="str">
            <v>4q2007</v>
          </cell>
        </row>
        <row r="106">
          <cell r="A106" t="str">
            <v>D0033</v>
          </cell>
          <cell r="B106" t="str">
            <v>DP02A</v>
          </cell>
          <cell r="C106" t="str">
            <v>DP0</v>
          </cell>
          <cell r="D106" t="str">
            <v>FRESUBIN ORIGINAL DRINK, príchuť broskyňová</v>
          </cell>
          <cell r="E106" t="str">
            <v>sol 1x200 ml</v>
          </cell>
          <cell r="F106">
            <v>660</v>
          </cell>
          <cell r="G106">
            <v>23492</v>
          </cell>
          <cell r="H106">
            <v>66</v>
          </cell>
          <cell r="I106" t="str">
            <v>4q2007</v>
          </cell>
        </row>
        <row r="107">
          <cell r="A107" t="str">
            <v>D0034</v>
          </cell>
          <cell r="B107" t="str">
            <v>DP02A</v>
          </cell>
          <cell r="C107" t="str">
            <v>DP0</v>
          </cell>
          <cell r="D107" t="str">
            <v>FRESUBIN ORIGINAL DRINK, príchuť lesné plody</v>
          </cell>
          <cell r="E107" t="str">
            <v>sol 1x200 ml</v>
          </cell>
          <cell r="F107">
            <v>30</v>
          </cell>
          <cell r="G107">
            <v>1068</v>
          </cell>
          <cell r="H107">
            <v>3</v>
          </cell>
          <cell r="I107" t="str">
            <v>4q2007</v>
          </cell>
        </row>
        <row r="108">
          <cell r="A108" t="str">
            <v>D0069</v>
          </cell>
          <cell r="B108" t="str">
            <v>DP02A</v>
          </cell>
          <cell r="C108" t="str">
            <v>DP0</v>
          </cell>
          <cell r="D108" t="str">
            <v>NUTRINI</v>
          </cell>
          <cell r="E108" t="str">
            <v>sol 1x200 ml</v>
          </cell>
          <cell r="F108">
            <v>2048</v>
          </cell>
          <cell r="G108">
            <v>76254.7</v>
          </cell>
          <cell r="H108">
            <v>29740.6</v>
          </cell>
          <cell r="I108" t="str">
            <v>4q2007</v>
          </cell>
        </row>
        <row r="109">
          <cell r="A109" t="str">
            <v>D0071</v>
          </cell>
          <cell r="B109" t="str">
            <v>DP02A</v>
          </cell>
          <cell r="C109" t="str">
            <v>DP0</v>
          </cell>
          <cell r="D109" t="str">
            <v>NUTRISON STANDARD</v>
          </cell>
          <cell r="E109" t="str">
            <v>sol 1x500 ml</v>
          </cell>
          <cell r="F109">
            <v>4420</v>
          </cell>
          <cell r="G109">
            <v>397786.1</v>
          </cell>
          <cell r="H109">
            <v>35711.599999999999</v>
          </cell>
          <cell r="I109" t="str">
            <v>4q2007</v>
          </cell>
        </row>
        <row r="110">
          <cell r="A110" t="str">
            <v>D0072</v>
          </cell>
          <cell r="B110" t="str">
            <v>DP02A</v>
          </cell>
          <cell r="C110" t="str">
            <v>DP0</v>
          </cell>
          <cell r="D110" t="str">
            <v>NUTRISON POWDER</v>
          </cell>
          <cell r="E110" t="str">
            <v>plv 1x430 g</v>
          </cell>
          <cell r="F110">
            <v>2503</v>
          </cell>
          <cell r="G110">
            <v>520929.2</v>
          </cell>
          <cell r="H110">
            <v>25958.9</v>
          </cell>
          <cell r="I110" t="str">
            <v>4q2007</v>
          </cell>
        </row>
        <row r="111">
          <cell r="A111" t="str">
            <v>D0145</v>
          </cell>
          <cell r="B111" t="str">
            <v>DP02A</v>
          </cell>
          <cell r="C111" t="str">
            <v>DP0</v>
          </cell>
          <cell r="D111" t="str">
            <v>ENSURE prášok</v>
          </cell>
          <cell r="E111" t="str">
            <v>plv 1x380 g</v>
          </cell>
          <cell r="F111">
            <v>85</v>
          </cell>
          <cell r="G111">
            <v>3770.9</v>
          </cell>
          <cell r="H111">
            <v>246.5</v>
          </cell>
          <cell r="I111" t="str">
            <v>4q2007</v>
          </cell>
        </row>
        <row r="112">
          <cell r="A112" t="str">
            <v>D0238</v>
          </cell>
          <cell r="B112" t="str">
            <v>DP02A</v>
          </cell>
          <cell r="C112" t="str">
            <v>DP0</v>
          </cell>
          <cell r="D112" t="str">
            <v>Clinutren OPTIMUM VANILLA</v>
          </cell>
          <cell r="E112" t="str">
            <v>plv 1x400 g</v>
          </cell>
          <cell r="F112">
            <v>87</v>
          </cell>
          <cell r="G112">
            <v>17001.5</v>
          </cell>
          <cell r="H112">
            <v>4706.3999999999996</v>
          </cell>
          <cell r="I112" t="str">
            <v>4q2007</v>
          </cell>
        </row>
        <row r="113">
          <cell r="A113" t="str">
            <v>D0241</v>
          </cell>
          <cell r="B113" t="str">
            <v>DP02A</v>
          </cell>
          <cell r="C113" t="str">
            <v>DP0</v>
          </cell>
          <cell r="D113" t="str">
            <v>Clinutren JUNIOR VANILLA</v>
          </cell>
          <cell r="E113" t="str">
            <v>plv 1x400 g</v>
          </cell>
          <cell r="F113">
            <v>3</v>
          </cell>
          <cell r="G113">
            <v>587.4</v>
          </cell>
          <cell r="H113">
            <v>786.6</v>
          </cell>
          <cell r="I113" t="str">
            <v>4q2007</v>
          </cell>
        </row>
        <row r="114">
          <cell r="A114" t="str">
            <v>D0300</v>
          </cell>
          <cell r="B114" t="str">
            <v>DP02A</v>
          </cell>
          <cell r="C114" t="str">
            <v>DP0</v>
          </cell>
          <cell r="D114" t="str">
            <v>Osmeral basic</v>
          </cell>
          <cell r="E114" t="str">
            <v>plv 2x325 g</v>
          </cell>
          <cell r="F114">
            <v>60</v>
          </cell>
          <cell r="G114">
            <v>19092</v>
          </cell>
          <cell r="H114">
            <v>108</v>
          </cell>
          <cell r="I114" t="str">
            <v>4q2007</v>
          </cell>
        </row>
        <row r="115">
          <cell r="A115" t="str">
            <v>D0301</v>
          </cell>
          <cell r="B115" t="str">
            <v>DP02A</v>
          </cell>
          <cell r="C115" t="str">
            <v>DP0</v>
          </cell>
          <cell r="D115" t="str">
            <v>OSMERAL SN neutral</v>
          </cell>
          <cell r="E115" t="str">
            <v>sol 1x500 ml</v>
          </cell>
          <cell r="F115">
            <v>60</v>
          </cell>
          <cell r="G115">
            <v>5346</v>
          </cell>
          <cell r="H115">
            <v>1908.2</v>
          </cell>
          <cell r="I115" t="str">
            <v>4q2007</v>
          </cell>
        </row>
        <row r="116">
          <cell r="A116" t="str">
            <v>D0302</v>
          </cell>
          <cell r="B116" t="str">
            <v>DP02A</v>
          </cell>
          <cell r="C116" t="str">
            <v>DP0</v>
          </cell>
          <cell r="D116" t="str">
            <v>OSMERAL SN malina</v>
          </cell>
          <cell r="E116" t="str">
            <v>sol 1x500 ml</v>
          </cell>
          <cell r="F116">
            <v>256</v>
          </cell>
          <cell r="G116">
            <v>22807.599999999999</v>
          </cell>
          <cell r="H116">
            <v>8421.4</v>
          </cell>
          <cell r="I116" t="str">
            <v>4q2007</v>
          </cell>
        </row>
        <row r="117">
          <cell r="A117" t="str">
            <v>D0303</v>
          </cell>
          <cell r="B117" t="str">
            <v>DP02A</v>
          </cell>
          <cell r="C117" t="str">
            <v>DP0</v>
          </cell>
          <cell r="D117" t="str">
            <v>OSMERAL SN banán</v>
          </cell>
          <cell r="E117" t="str">
            <v>sol 1x500 ml</v>
          </cell>
          <cell r="F117">
            <v>441</v>
          </cell>
          <cell r="G117">
            <v>38385.1</v>
          </cell>
          <cell r="H117">
            <v>14501.9</v>
          </cell>
          <cell r="I117" t="str">
            <v>4q2007</v>
          </cell>
        </row>
        <row r="118">
          <cell r="B118" t="str">
            <v>DP02A Celkom</v>
          </cell>
          <cell r="F118">
            <v>15069</v>
          </cell>
          <cell r="G118">
            <v>1387471</v>
          </cell>
          <cell r="H118">
            <v>123397.99999999999</v>
          </cell>
        </row>
        <row r="119">
          <cell r="A119" t="str">
            <v>D0035</v>
          </cell>
          <cell r="B119" t="str">
            <v>DP02B</v>
          </cell>
          <cell r="C119" t="str">
            <v>DP0</v>
          </cell>
          <cell r="D119" t="str">
            <v>FRESUBIN ORIGINAL FIBRE, príchuť neutrálna</v>
          </cell>
          <cell r="E119" t="str">
            <v>sol 1x500 ml</v>
          </cell>
          <cell r="F119">
            <v>252</v>
          </cell>
          <cell r="G119">
            <v>22176.6</v>
          </cell>
          <cell r="H119">
            <v>7364.1</v>
          </cell>
          <cell r="I119" t="str">
            <v>4q2007</v>
          </cell>
        </row>
        <row r="120">
          <cell r="A120" t="str">
            <v>D0201</v>
          </cell>
          <cell r="B120" t="str">
            <v>DP02B</v>
          </cell>
          <cell r="C120" t="str">
            <v>DP0</v>
          </cell>
          <cell r="D120" t="str">
            <v>NUTRISON MULTIFIBRE</v>
          </cell>
          <cell r="E120" t="str">
            <v>sol 1x1000 ml</v>
          </cell>
          <cell r="F120">
            <v>337</v>
          </cell>
          <cell r="G120">
            <v>59290.6</v>
          </cell>
          <cell r="H120">
            <v>38958.9</v>
          </cell>
          <cell r="I120" t="str">
            <v>4q2007</v>
          </cell>
        </row>
        <row r="121">
          <cell r="A121" t="str">
            <v>D0239</v>
          </cell>
          <cell r="B121" t="str">
            <v>DP02B</v>
          </cell>
          <cell r="C121" t="str">
            <v>DP0</v>
          </cell>
          <cell r="D121" t="str">
            <v>Clinutren FIBRE VANILLA</v>
          </cell>
          <cell r="E121" t="str">
            <v>plv 1x400 g</v>
          </cell>
          <cell r="F121">
            <v>8</v>
          </cell>
          <cell r="G121">
            <v>2148</v>
          </cell>
          <cell r="H121">
            <v>499.6</v>
          </cell>
          <cell r="I121" t="str">
            <v>4q2007</v>
          </cell>
        </row>
        <row r="122">
          <cell r="A122" t="str">
            <v>D0304</v>
          </cell>
          <cell r="B122" t="str">
            <v>DP02B</v>
          </cell>
          <cell r="C122" t="str">
            <v>DP0</v>
          </cell>
          <cell r="D122" t="str">
            <v>Osmeral BS</v>
          </cell>
          <cell r="E122" t="str">
            <v>sol 1x500 ml</v>
          </cell>
          <cell r="F122">
            <v>69</v>
          </cell>
          <cell r="G122">
            <v>6147.9</v>
          </cell>
          <cell r="H122">
            <v>2270.1</v>
          </cell>
          <cell r="I122" t="str">
            <v>4q2007</v>
          </cell>
        </row>
        <row r="123">
          <cell r="A123" t="str">
            <v>D0305</v>
          </cell>
          <cell r="B123" t="str">
            <v>DP02B</v>
          </cell>
          <cell r="C123" t="str">
            <v>DP0</v>
          </cell>
          <cell r="D123" t="str">
            <v>Osmeral CS instant</v>
          </cell>
          <cell r="E123" t="str">
            <v>plv 2x177 g</v>
          </cell>
          <cell r="F123">
            <v>142</v>
          </cell>
          <cell r="G123">
            <v>30710.400000000001</v>
          </cell>
          <cell r="H123">
            <v>823.6</v>
          </cell>
          <cell r="I123" t="str">
            <v>4q2007</v>
          </cell>
        </row>
        <row r="124">
          <cell r="A124" t="str">
            <v>D0319</v>
          </cell>
          <cell r="B124" t="str">
            <v>DP02B</v>
          </cell>
          <cell r="C124" t="str">
            <v>DP0</v>
          </cell>
          <cell r="D124" t="str">
            <v>OSMERAL BS instant</v>
          </cell>
          <cell r="E124" t="str">
            <v>plv 2x175g</v>
          </cell>
          <cell r="F124">
            <v>152</v>
          </cell>
          <cell r="G124">
            <v>41199.4</v>
          </cell>
          <cell r="H124">
            <v>1352.6</v>
          </cell>
          <cell r="I124" t="str">
            <v>4q2007</v>
          </cell>
        </row>
        <row r="125">
          <cell r="B125" t="str">
            <v>DP02B Celkom</v>
          </cell>
          <cell r="F125">
            <v>960</v>
          </cell>
          <cell r="G125">
            <v>161672.9</v>
          </cell>
          <cell r="H125">
            <v>51268.899999999994</v>
          </cell>
        </row>
        <row r="126">
          <cell r="A126" t="str">
            <v>D0012</v>
          </cell>
          <cell r="B126" t="str">
            <v>DP02C</v>
          </cell>
          <cell r="C126" t="str">
            <v>DP0</v>
          </cell>
          <cell r="D126" t="str">
            <v>ENSURE PLUS, vanilková príchuť</v>
          </cell>
          <cell r="E126" t="str">
            <v>sol 1x200 ml</v>
          </cell>
          <cell r="F126">
            <v>29464</v>
          </cell>
          <cell r="G126">
            <v>1387359.2</v>
          </cell>
          <cell r="H126">
            <v>0</v>
          </cell>
          <cell r="I126" t="str">
            <v>4q2007</v>
          </cell>
        </row>
        <row r="127">
          <cell r="A127" t="str">
            <v>D0013</v>
          </cell>
          <cell r="B127" t="str">
            <v>DP02C</v>
          </cell>
          <cell r="C127" t="str">
            <v>DP0</v>
          </cell>
          <cell r="D127" t="str">
            <v>ENSURE PLUS, čokoládová príchuť</v>
          </cell>
          <cell r="E127" t="str">
            <v>sol 1x200 ml</v>
          </cell>
          <cell r="F127">
            <v>103926</v>
          </cell>
          <cell r="G127">
            <v>4905890.0999999996</v>
          </cell>
          <cell r="H127">
            <v>0</v>
          </cell>
          <cell r="I127" t="str">
            <v>4q2007</v>
          </cell>
        </row>
        <row r="128">
          <cell r="A128" t="str">
            <v>D0014</v>
          </cell>
          <cell r="B128" t="str">
            <v>DP02C</v>
          </cell>
          <cell r="C128" t="str">
            <v>DP0</v>
          </cell>
          <cell r="D128" t="str">
            <v>ENSURE PLUS, bez príchute</v>
          </cell>
          <cell r="E128" t="str">
            <v>sol 1x200 ml</v>
          </cell>
          <cell r="F128">
            <v>23275</v>
          </cell>
          <cell r="G128">
            <v>1097497.5</v>
          </cell>
          <cell r="H128">
            <v>0</v>
          </cell>
          <cell r="I128" t="str">
            <v>4q2007</v>
          </cell>
        </row>
        <row r="129">
          <cell r="A129" t="str">
            <v>D0015</v>
          </cell>
          <cell r="B129" t="str">
            <v>DP02C</v>
          </cell>
          <cell r="C129" t="str">
            <v>DP0</v>
          </cell>
          <cell r="D129" t="str">
            <v>ENSURE PLUS, karamelová príchuť</v>
          </cell>
          <cell r="E129" t="str">
            <v>sol 1x200 ml</v>
          </cell>
          <cell r="F129">
            <v>28055</v>
          </cell>
          <cell r="G129">
            <v>1306212.3</v>
          </cell>
          <cell r="H129">
            <v>11399.3</v>
          </cell>
          <cell r="I129" t="str">
            <v>4q2007</v>
          </cell>
        </row>
        <row r="130">
          <cell r="A130" t="str">
            <v>D0016</v>
          </cell>
          <cell r="B130" t="str">
            <v>DP02C</v>
          </cell>
          <cell r="C130" t="str">
            <v>DP0</v>
          </cell>
          <cell r="D130" t="str">
            <v>ENSURE PLUS, príchuť lesného ovocia</v>
          </cell>
          <cell r="E130" t="str">
            <v>sol 1x200 ml</v>
          </cell>
          <cell r="F130">
            <v>38818</v>
          </cell>
          <cell r="G130">
            <v>1833511.8</v>
          </cell>
          <cell r="H130">
            <v>0</v>
          </cell>
          <cell r="I130" t="str">
            <v>4q2007</v>
          </cell>
        </row>
        <row r="131">
          <cell r="A131" t="str">
            <v>D0017</v>
          </cell>
          <cell r="B131" t="str">
            <v>DP02C</v>
          </cell>
          <cell r="C131" t="str">
            <v>DP0</v>
          </cell>
          <cell r="D131" t="str">
            <v>FRESUBIN HP ENERGY, príchuť neutrálna</v>
          </cell>
          <cell r="E131" t="str">
            <v>sol 1x500 ml</v>
          </cell>
          <cell r="F131">
            <v>72</v>
          </cell>
          <cell r="G131">
            <v>8335.2000000000007</v>
          </cell>
          <cell r="H131">
            <v>6549.6</v>
          </cell>
          <cell r="I131" t="str">
            <v>4q2007</v>
          </cell>
        </row>
        <row r="132">
          <cell r="A132" t="str">
            <v>D0018</v>
          </cell>
          <cell r="B132" t="str">
            <v>DP02C</v>
          </cell>
          <cell r="C132" t="str">
            <v>DP0</v>
          </cell>
          <cell r="D132" t="str">
            <v>FRESUBIN ENERGY, príchuť neutrálna</v>
          </cell>
          <cell r="E132" t="str">
            <v>sol 1x500 ml</v>
          </cell>
          <cell r="F132">
            <v>5</v>
          </cell>
          <cell r="G132">
            <v>593.5</v>
          </cell>
          <cell r="H132">
            <v>480</v>
          </cell>
          <cell r="I132" t="str">
            <v>4q2007</v>
          </cell>
        </row>
        <row r="133">
          <cell r="A133" t="str">
            <v>D0019</v>
          </cell>
          <cell r="B133" t="str">
            <v>DP02C</v>
          </cell>
          <cell r="C133" t="str">
            <v>DP0</v>
          </cell>
          <cell r="D133" t="str">
            <v>FRESUBIN ENERGY DRINK, príchuť vanilková</v>
          </cell>
          <cell r="E133" t="str">
            <v>sol 1x200 ml</v>
          </cell>
          <cell r="F133">
            <v>30</v>
          </cell>
          <cell r="G133">
            <v>1425</v>
          </cell>
          <cell r="H133">
            <v>330</v>
          </cell>
          <cell r="I133" t="str">
            <v>4q2007</v>
          </cell>
        </row>
        <row r="134">
          <cell r="A134" t="str">
            <v>D0077</v>
          </cell>
          <cell r="B134" t="str">
            <v>DP02C</v>
          </cell>
          <cell r="C134" t="str">
            <v>DP0</v>
          </cell>
          <cell r="D134" t="str">
            <v>NUTRIDRINK, čokoládová príchuť</v>
          </cell>
          <cell r="E134" t="str">
            <v>sol 1x200 ml</v>
          </cell>
          <cell r="F134">
            <v>220767</v>
          </cell>
          <cell r="G134">
            <v>10459798.1</v>
          </cell>
          <cell r="H134">
            <v>44.4</v>
          </cell>
          <cell r="I134" t="str">
            <v>4q2007</v>
          </cell>
        </row>
        <row r="135">
          <cell r="A135" t="str">
            <v>D0078</v>
          </cell>
          <cell r="B135" t="str">
            <v>DP02C</v>
          </cell>
          <cell r="C135" t="str">
            <v>DP0</v>
          </cell>
          <cell r="D135" t="str">
            <v>NUTRIDRINK, neutrálna chuť</v>
          </cell>
          <cell r="E135" t="str">
            <v>sol 1x200 ml</v>
          </cell>
          <cell r="F135">
            <v>31775</v>
          </cell>
          <cell r="G135">
            <v>1502842.8</v>
          </cell>
          <cell r="H135">
            <v>196</v>
          </cell>
          <cell r="I135" t="str">
            <v>4q2007</v>
          </cell>
        </row>
        <row r="136">
          <cell r="A136" t="str">
            <v>D0079</v>
          </cell>
          <cell r="B136" t="str">
            <v>DP02C</v>
          </cell>
          <cell r="C136" t="str">
            <v>DP0</v>
          </cell>
          <cell r="D136" t="str">
            <v>NUTRIDRINK, karamelová príchuť</v>
          </cell>
          <cell r="E136" t="str">
            <v>sol 1x200 ml</v>
          </cell>
          <cell r="F136">
            <v>41081</v>
          </cell>
          <cell r="G136">
            <v>1938267.8</v>
          </cell>
          <cell r="H136">
            <v>2</v>
          </cell>
          <cell r="I136" t="str">
            <v>4q2007</v>
          </cell>
        </row>
        <row r="137">
          <cell r="A137" t="str">
            <v>D0080</v>
          </cell>
          <cell r="B137" t="str">
            <v>DP02C</v>
          </cell>
          <cell r="C137" t="str">
            <v>DP0</v>
          </cell>
          <cell r="D137" t="str">
            <v>NUTRIDRINK, príchuť tropického ovocia</v>
          </cell>
          <cell r="E137" t="str">
            <v>sol 1x200 ml</v>
          </cell>
          <cell r="F137">
            <v>42499</v>
          </cell>
          <cell r="G137">
            <v>2009913.2</v>
          </cell>
          <cell r="H137">
            <v>288</v>
          </cell>
          <cell r="I137" t="str">
            <v>4q2007</v>
          </cell>
        </row>
        <row r="138">
          <cell r="A138" t="str">
            <v>D0126</v>
          </cell>
          <cell r="B138" t="str">
            <v>DP02C</v>
          </cell>
          <cell r="C138" t="str">
            <v>DP0</v>
          </cell>
          <cell r="D138" t="str">
            <v>NUTRIDRINK YOGHURT, s príchuťou vanilka a citrón</v>
          </cell>
          <cell r="E138" t="str">
            <v>sol 1x200 ml</v>
          </cell>
          <cell r="F138">
            <v>3052</v>
          </cell>
          <cell r="G138">
            <v>142306.29999999999</v>
          </cell>
          <cell r="H138">
            <v>27034.1</v>
          </cell>
          <cell r="I138" t="str">
            <v>4q2007</v>
          </cell>
        </row>
        <row r="139">
          <cell r="A139" t="str">
            <v>D0127</v>
          </cell>
          <cell r="B139" t="str">
            <v>DP02C</v>
          </cell>
          <cell r="C139" t="str">
            <v>DP0</v>
          </cell>
          <cell r="D139" t="str">
            <v>NUTRIDRINK YOGHURT, s malinovou príchuťou</v>
          </cell>
          <cell r="E139" t="str">
            <v>sol 1x200 ml</v>
          </cell>
          <cell r="F139">
            <v>5089</v>
          </cell>
          <cell r="G139">
            <v>231776.2</v>
          </cell>
          <cell r="H139">
            <v>43975</v>
          </cell>
          <cell r="I139" t="str">
            <v>4q2007</v>
          </cell>
        </row>
        <row r="140">
          <cell r="A140" t="str">
            <v>D0218</v>
          </cell>
          <cell r="B140" t="str">
            <v>DP02C</v>
          </cell>
          <cell r="C140" t="str">
            <v>DP0</v>
          </cell>
          <cell r="D140" t="str">
            <v>ENSURE PLUS, príchuť čiernych ríbezlí</v>
          </cell>
          <cell r="E140" t="str">
            <v>sol 1x200 ml</v>
          </cell>
          <cell r="F140">
            <v>26682</v>
          </cell>
          <cell r="G140">
            <v>1258915.8999999999</v>
          </cell>
          <cell r="H140">
            <v>0</v>
          </cell>
          <cell r="I140" t="str">
            <v>4q2007</v>
          </cell>
        </row>
        <row r="141">
          <cell r="A141" t="str">
            <v>D0219</v>
          </cell>
          <cell r="B141" t="str">
            <v>DP02C</v>
          </cell>
          <cell r="C141" t="str">
            <v>DP0</v>
          </cell>
          <cell r="D141" t="str">
            <v>ENSURE PLUS, jahodová príchuť</v>
          </cell>
          <cell r="E141" t="str">
            <v>sol 1x200 ml</v>
          </cell>
          <cell r="F141">
            <v>31904</v>
          </cell>
          <cell r="G141">
            <v>1505068.1</v>
          </cell>
          <cell r="H141">
            <v>0</v>
          </cell>
          <cell r="I141" t="str">
            <v>4q2007</v>
          </cell>
        </row>
        <row r="142">
          <cell r="A142" t="str">
            <v>D0220</v>
          </cell>
          <cell r="B142" t="str">
            <v>DP02C</v>
          </cell>
          <cell r="C142" t="str">
            <v>DP0</v>
          </cell>
          <cell r="D142" t="str">
            <v>ENSURE PLUS  jogurt, broskyňová príchuť</v>
          </cell>
          <cell r="E142" t="str">
            <v>sol 1x220 ml</v>
          </cell>
          <cell r="F142">
            <v>16669</v>
          </cell>
          <cell r="G142">
            <v>848775.1</v>
          </cell>
          <cell r="H142">
            <v>0</v>
          </cell>
          <cell r="I142" t="str">
            <v>4q2007</v>
          </cell>
        </row>
        <row r="143">
          <cell r="A143" t="str">
            <v>D0221</v>
          </cell>
          <cell r="B143" t="str">
            <v>DP02C</v>
          </cell>
          <cell r="C143" t="str">
            <v>DP0</v>
          </cell>
          <cell r="D143" t="str">
            <v>ENSURE PLUS jogurt, pomarančová príchuť</v>
          </cell>
          <cell r="E143" t="str">
            <v>sol 1x220 ml</v>
          </cell>
          <cell r="F143">
            <v>5997</v>
          </cell>
          <cell r="G143">
            <v>310682.40000000002</v>
          </cell>
          <cell r="H143">
            <v>0</v>
          </cell>
          <cell r="I143" t="str">
            <v>4q2007</v>
          </cell>
        </row>
        <row r="144">
          <cell r="A144" t="str">
            <v>D0306</v>
          </cell>
          <cell r="B144" t="str">
            <v>DP02C</v>
          </cell>
          <cell r="C144" t="str">
            <v>DP0</v>
          </cell>
          <cell r="D144" t="str">
            <v>Osmeral HC coffee cream</v>
          </cell>
          <cell r="E144" t="str">
            <v>sol 1x500 ml</v>
          </cell>
          <cell r="F144">
            <v>2931</v>
          </cell>
          <cell r="G144">
            <v>347354.9</v>
          </cell>
          <cell r="H144">
            <v>9626.6</v>
          </cell>
          <cell r="I144" t="str">
            <v>4q2007</v>
          </cell>
        </row>
        <row r="145">
          <cell r="A145" t="str">
            <v>D0323</v>
          </cell>
          <cell r="B145" t="str">
            <v>DP02C</v>
          </cell>
          <cell r="C145" t="str">
            <v>DP0</v>
          </cell>
          <cell r="D145" t="str">
            <v>OSMERAL HN</v>
          </cell>
          <cell r="E145" t="str">
            <v>sol 1x500 ml</v>
          </cell>
          <cell r="F145">
            <v>355</v>
          </cell>
          <cell r="G145">
            <v>42138.5</v>
          </cell>
          <cell r="H145">
            <v>1171.5</v>
          </cell>
          <cell r="I145" t="str">
            <v>4q2007</v>
          </cell>
        </row>
        <row r="146">
          <cell r="B146" t="str">
            <v>DP02C Celkom</v>
          </cell>
          <cell r="F146">
            <v>652446</v>
          </cell>
          <cell r="G146">
            <v>31138663.899999999</v>
          </cell>
          <cell r="H146">
            <v>101096.5</v>
          </cell>
        </row>
        <row r="147">
          <cell r="A147" t="str">
            <v>D0021</v>
          </cell>
          <cell r="B147" t="str">
            <v>DP02D</v>
          </cell>
          <cell r="C147" t="str">
            <v>DP0</v>
          </cell>
          <cell r="D147" t="str">
            <v>FRESUBIN ENERGY FIBRE DRINK, príchuť čokoládová</v>
          </cell>
          <cell r="E147" t="str">
            <v>sol 1x200 ml</v>
          </cell>
          <cell r="F147">
            <v>2038</v>
          </cell>
          <cell r="G147">
            <v>96367.8</v>
          </cell>
          <cell r="H147">
            <v>0</v>
          </cell>
          <cell r="I147" t="str">
            <v>4q2007</v>
          </cell>
        </row>
        <row r="148">
          <cell r="A148" t="str">
            <v>D0022</v>
          </cell>
          <cell r="B148" t="str">
            <v>DP02D</v>
          </cell>
          <cell r="C148" t="str">
            <v>DP0</v>
          </cell>
          <cell r="D148" t="str">
            <v>FRESUBIN ENERGY FIBRE DRINK, príchuť kapučíno</v>
          </cell>
          <cell r="E148" t="str">
            <v>sol 1x200 ml</v>
          </cell>
          <cell r="F148">
            <v>785</v>
          </cell>
          <cell r="G148">
            <v>37176</v>
          </cell>
          <cell r="H148">
            <v>0</v>
          </cell>
          <cell r="I148" t="str">
            <v>4q2007</v>
          </cell>
        </row>
        <row r="149">
          <cell r="A149" t="str">
            <v>D0023</v>
          </cell>
          <cell r="B149" t="str">
            <v>DP02D</v>
          </cell>
          <cell r="C149" t="str">
            <v>DP0</v>
          </cell>
          <cell r="D149" t="str">
            <v>FRESUBIN ENERGY FIBRE DRINK, príchuť citrónová</v>
          </cell>
          <cell r="E149" t="str">
            <v>sol 1x200 ml</v>
          </cell>
          <cell r="F149">
            <v>1486</v>
          </cell>
          <cell r="G149">
            <v>70321.600000000006</v>
          </cell>
          <cell r="H149">
            <v>0</v>
          </cell>
          <cell r="I149" t="str">
            <v>4q2007</v>
          </cell>
        </row>
        <row r="150">
          <cell r="A150" t="str">
            <v>D0024</v>
          </cell>
          <cell r="B150" t="str">
            <v>DP02D</v>
          </cell>
          <cell r="C150" t="str">
            <v>DP0</v>
          </cell>
          <cell r="D150" t="str">
            <v>FRESUBIN ENERGY FIBRE DRINK, príchuť jahodová</v>
          </cell>
          <cell r="E150" t="str">
            <v>sol 1x200 ml</v>
          </cell>
          <cell r="F150">
            <v>936</v>
          </cell>
          <cell r="G150">
            <v>44436.9</v>
          </cell>
          <cell r="H150">
            <v>0</v>
          </cell>
          <cell r="I150" t="str">
            <v>4q2007</v>
          </cell>
        </row>
        <row r="151">
          <cell r="A151" t="str">
            <v>D0073</v>
          </cell>
          <cell r="B151" t="str">
            <v>DP02D</v>
          </cell>
          <cell r="C151" t="str">
            <v>DP0</v>
          </cell>
          <cell r="D151" t="str">
            <v>NUTRIDRINK MULTIFIBRE, príchuť pomarančová</v>
          </cell>
          <cell r="E151" t="str">
            <v>sol 1x200 ml</v>
          </cell>
          <cell r="F151">
            <v>48604</v>
          </cell>
          <cell r="G151">
            <v>2301330.2999999998</v>
          </cell>
          <cell r="H151">
            <v>1.1000000000000001</v>
          </cell>
          <cell r="I151" t="str">
            <v>4q2007</v>
          </cell>
        </row>
        <row r="152">
          <cell r="A152" t="str">
            <v>D0074</v>
          </cell>
          <cell r="B152" t="str">
            <v>DP02D</v>
          </cell>
          <cell r="C152" t="str">
            <v>DP0</v>
          </cell>
          <cell r="D152" t="str">
            <v>NUTRIDRINK MULTIFIBRE, príchuť vanilková</v>
          </cell>
          <cell r="E152" t="str">
            <v>sol 1x200 ml</v>
          </cell>
          <cell r="F152">
            <v>51752</v>
          </cell>
          <cell r="G152">
            <v>2446646</v>
          </cell>
          <cell r="H152">
            <v>0.5</v>
          </cell>
          <cell r="I152" t="str">
            <v>4q2007</v>
          </cell>
        </row>
        <row r="153">
          <cell r="A153" t="str">
            <v>D0075</v>
          </cell>
          <cell r="B153" t="str">
            <v>DP02D</v>
          </cell>
          <cell r="C153" t="str">
            <v>DP0</v>
          </cell>
          <cell r="D153" t="str">
            <v>NUTRIDRINK MULTIFIBRE, príchuť jahodová</v>
          </cell>
          <cell r="E153" t="str">
            <v>sol 1x200 ml</v>
          </cell>
          <cell r="F153">
            <v>76329</v>
          </cell>
          <cell r="G153">
            <v>3608709.4</v>
          </cell>
          <cell r="H153">
            <v>481</v>
          </cell>
          <cell r="I153" t="str">
            <v>4q2007</v>
          </cell>
        </row>
        <row r="154">
          <cell r="A154" t="str">
            <v>D0202</v>
          </cell>
          <cell r="B154" t="str">
            <v>DP02D</v>
          </cell>
          <cell r="C154" t="str">
            <v>DP0</v>
          </cell>
          <cell r="D154" t="str">
            <v>NUTRISON PROTEIN Plus Multifibre</v>
          </cell>
          <cell r="E154" t="str">
            <v>sol 1x500 ml</v>
          </cell>
          <cell r="F154">
            <v>190</v>
          </cell>
          <cell r="G154">
            <v>59665</v>
          </cell>
          <cell r="H154">
            <v>2365</v>
          </cell>
          <cell r="I154" t="str">
            <v>4q2007</v>
          </cell>
        </row>
        <row r="155">
          <cell r="A155" t="str">
            <v>D0255</v>
          </cell>
          <cell r="B155" t="str">
            <v>DP02D</v>
          </cell>
          <cell r="C155" t="str">
            <v>DP0</v>
          </cell>
          <cell r="D155" t="str">
            <v>ENRICH PLUS, príchuť malín</v>
          </cell>
          <cell r="E155" t="str">
            <v>sol 1x200 ml</v>
          </cell>
          <cell r="F155">
            <v>19718</v>
          </cell>
          <cell r="G155">
            <v>927572.8</v>
          </cell>
          <cell r="H155">
            <v>0</v>
          </cell>
          <cell r="I155" t="str">
            <v>4q2007</v>
          </cell>
        </row>
        <row r="156">
          <cell r="A156" t="str">
            <v>D0307</v>
          </cell>
          <cell r="B156" t="str">
            <v>DP02D</v>
          </cell>
          <cell r="C156" t="str">
            <v>DP0</v>
          </cell>
          <cell r="D156" t="str">
            <v>Osmeral complete tetra</v>
          </cell>
          <cell r="E156" t="str">
            <v>sol 1x470 ml</v>
          </cell>
          <cell r="F156">
            <v>820</v>
          </cell>
          <cell r="G156">
            <v>91512</v>
          </cell>
          <cell r="H156">
            <v>2788</v>
          </cell>
          <cell r="I156" t="str">
            <v>4q2007</v>
          </cell>
        </row>
        <row r="157">
          <cell r="A157" t="str">
            <v>D0330</v>
          </cell>
          <cell r="B157" t="str">
            <v>DP02D</v>
          </cell>
          <cell r="C157" t="str">
            <v>DP0</v>
          </cell>
          <cell r="D157" t="str">
            <v>NUTRIDRINK MULTIFIBRE, príchuť banánová</v>
          </cell>
          <cell r="E157" t="str">
            <v>sol 1x200 ml</v>
          </cell>
          <cell r="F157">
            <v>7282</v>
          </cell>
          <cell r="G157">
            <v>343648</v>
          </cell>
          <cell r="H157">
            <v>0</v>
          </cell>
          <cell r="I157" t="str">
            <v>4q2007</v>
          </cell>
        </row>
        <row r="158">
          <cell r="B158" t="str">
            <v>DP02D Celkom</v>
          </cell>
          <cell r="F158">
            <v>209940</v>
          </cell>
          <cell r="G158">
            <v>10027385.800000001</v>
          </cell>
          <cell r="H158">
            <v>5635.6</v>
          </cell>
        </row>
        <row r="159">
          <cell r="A159" t="str">
            <v>D0070</v>
          </cell>
          <cell r="B159" t="str">
            <v>DP02E</v>
          </cell>
          <cell r="C159" t="str">
            <v>DP0</v>
          </cell>
          <cell r="D159" t="str">
            <v>PEPTISORB POWDER</v>
          </cell>
          <cell r="E159" t="str">
            <v>plv 1x500 g</v>
          </cell>
          <cell r="F159">
            <v>763</v>
          </cell>
          <cell r="G159">
            <v>617879.9</v>
          </cell>
          <cell r="H159">
            <v>0</v>
          </cell>
          <cell r="I159" t="str">
            <v>4q2007</v>
          </cell>
        </row>
        <row r="160">
          <cell r="A160" t="str">
            <v>D0076</v>
          </cell>
          <cell r="B160" t="str">
            <v>DP02E</v>
          </cell>
          <cell r="C160" t="str">
            <v>DP0</v>
          </cell>
          <cell r="D160" t="str">
            <v>PEPTISORB</v>
          </cell>
          <cell r="E160" t="str">
            <v>sol 1x500 ml</v>
          </cell>
          <cell r="F160">
            <v>309</v>
          </cell>
          <cell r="G160">
            <v>64827.199999999997</v>
          </cell>
          <cell r="H160">
            <v>4851.3</v>
          </cell>
          <cell r="I160" t="str">
            <v>4q2007</v>
          </cell>
        </row>
        <row r="161">
          <cell r="A161" t="str">
            <v>D0242</v>
          </cell>
          <cell r="B161" t="str">
            <v>DP02E</v>
          </cell>
          <cell r="C161" t="str">
            <v>DP0</v>
          </cell>
          <cell r="D161" t="str">
            <v>PEPTAMEN VANILLA</v>
          </cell>
          <cell r="E161" t="str">
            <v>plv 1x430 g</v>
          </cell>
          <cell r="F161">
            <v>515</v>
          </cell>
          <cell r="G161">
            <v>420097.6</v>
          </cell>
          <cell r="H161">
            <v>0</v>
          </cell>
          <cell r="I161" t="str">
            <v>4q2007</v>
          </cell>
        </row>
        <row r="162">
          <cell r="A162" t="str">
            <v>D0243</v>
          </cell>
          <cell r="B162" t="str">
            <v>DP02E</v>
          </cell>
          <cell r="C162" t="str">
            <v>DP0</v>
          </cell>
          <cell r="D162" t="str">
            <v>PEPTAMEN JUNIOR VANILLA</v>
          </cell>
          <cell r="E162" t="str">
            <v>plv 1x400 g</v>
          </cell>
          <cell r="F162">
            <v>26</v>
          </cell>
          <cell r="G162">
            <v>16765.400000000001</v>
          </cell>
          <cell r="H162">
            <v>0</v>
          </cell>
          <cell r="I162" t="str">
            <v>4q2007</v>
          </cell>
        </row>
        <row r="163">
          <cell r="B163" t="str">
            <v>DP02E Celkom</v>
          </cell>
          <cell r="F163">
            <v>1613</v>
          </cell>
          <cell r="G163">
            <v>1119570.0999999999</v>
          </cell>
          <cell r="H163">
            <v>4851.3</v>
          </cell>
        </row>
        <row r="164">
          <cell r="A164" t="str">
            <v>D0041</v>
          </cell>
          <cell r="B164" t="str">
            <v>DP02F</v>
          </cell>
          <cell r="C164" t="str">
            <v>DP0</v>
          </cell>
          <cell r="D164" t="str">
            <v>DIBEN, príchuť neutrálna</v>
          </cell>
          <cell r="E164" t="str">
            <v>sol 1x500 ml</v>
          </cell>
          <cell r="F164">
            <v>575</v>
          </cell>
          <cell r="G164">
            <v>81565.8</v>
          </cell>
          <cell r="H164">
            <v>0</v>
          </cell>
          <cell r="I164" t="str">
            <v>4q2007</v>
          </cell>
        </row>
        <row r="165">
          <cell r="A165" t="str">
            <v>D0051</v>
          </cell>
          <cell r="B165" t="str">
            <v>DP02F</v>
          </cell>
          <cell r="C165" t="str">
            <v>DP0</v>
          </cell>
          <cell r="D165" t="str">
            <v>DIBEN DRINK, príchuť karamelová</v>
          </cell>
          <cell r="E165" t="str">
            <v>sol 1x200 ml</v>
          </cell>
          <cell r="F165">
            <v>174</v>
          </cell>
          <cell r="G165">
            <v>9864.4</v>
          </cell>
          <cell r="H165">
            <v>0</v>
          </cell>
          <cell r="I165" t="str">
            <v>4q2007</v>
          </cell>
        </row>
        <row r="166">
          <cell r="A166" t="str">
            <v>D0052</v>
          </cell>
          <cell r="B166" t="str">
            <v>DP02F</v>
          </cell>
          <cell r="C166" t="str">
            <v>DP0</v>
          </cell>
          <cell r="D166" t="str">
            <v>DIBEN DRINK, príchuť kapučíno</v>
          </cell>
          <cell r="E166" t="str">
            <v>sol 1x200 ml</v>
          </cell>
          <cell r="F166">
            <v>1583</v>
          </cell>
          <cell r="G166">
            <v>89684</v>
          </cell>
          <cell r="H166">
            <v>0</v>
          </cell>
          <cell r="I166" t="str">
            <v>4q2007</v>
          </cell>
        </row>
        <row r="167">
          <cell r="A167" t="str">
            <v>D0053</v>
          </cell>
          <cell r="B167" t="str">
            <v>DP02F</v>
          </cell>
          <cell r="C167" t="str">
            <v>DP0</v>
          </cell>
          <cell r="D167" t="str">
            <v>DIBEN DRINK, príchuť lesné plody</v>
          </cell>
          <cell r="E167" t="str">
            <v>sol 1x200 ml</v>
          </cell>
          <cell r="F167">
            <v>989</v>
          </cell>
          <cell r="G167">
            <v>56076.3</v>
          </cell>
          <cell r="H167">
            <v>133.6</v>
          </cell>
          <cell r="I167" t="str">
            <v>4q2007</v>
          </cell>
        </row>
        <row r="168">
          <cell r="A168" t="str">
            <v>D0240</v>
          </cell>
          <cell r="B168" t="str">
            <v>DP02F</v>
          </cell>
          <cell r="C168" t="str">
            <v>DP0</v>
          </cell>
          <cell r="D168" t="str">
            <v>Clinutren DIABETES VANILLA</v>
          </cell>
          <cell r="E168" t="str">
            <v>plv 1x400 g</v>
          </cell>
          <cell r="F168">
            <v>1</v>
          </cell>
          <cell r="G168">
            <v>468.8</v>
          </cell>
          <cell r="H168">
            <v>11.1</v>
          </cell>
          <cell r="I168" t="str">
            <v>4q2007</v>
          </cell>
        </row>
        <row r="169">
          <cell r="A169" t="str">
            <v>D0312</v>
          </cell>
          <cell r="B169" t="str">
            <v>DP02F</v>
          </cell>
          <cell r="C169" t="str">
            <v>DP0</v>
          </cell>
          <cell r="D169" t="str">
            <v>Osmeral DS tetra</v>
          </cell>
          <cell r="E169" t="str">
            <v>sol 1x470 ml</v>
          </cell>
          <cell r="F169">
            <v>287</v>
          </cell>
          <cell r="G169">
            <v>38171</v>
          </cell>
          <cell r="H169">
            <v>0</v>
          </cell>
          <cell r="I169" t="str">
            <v>4q2007</v>
          </cell>
        </row>
        <row r="170">
          <cell r="A170" t="str">
            <v>D0313</v>
          </cell>
          <cell r="B170" t="str">
            <v>DP02F</v>
          </cell>
          <cell r="C170" t="str">
            <v>DP0</v>
          </cell>
          <cell r="D170" t="str">
            <v>Osmeral DS instant</v>
          </cell>
          <cell r="E170" t="str">
            <v>plv 2x170 g</v>
          </cell>
          <cell r="F170">
            <v>58</v>
          </cell>
          <cell r="G170">
            <v>12704</v>
          </cell>
          <cell r="H170">
            <v>0</v>
          </cell>
          <cell r="I170" t="str">
            <v>4q2007</v>
          </cell>
        </row>
        <row r="171">
          <cell r="A171" t="str">
            <v>D0331</v>
          </cell>
          <cell r="B171" t="str">
            <v>DP02F</v>
          </cell>
          <cell r="C171" t="str">
            <v>DP0</v>
          </cell>
          <cell r="D171" t="str">
            <v>DIBEN</v>
          </cell>
          <cell r="E171" t="str">
            <v>sol 15x 500 ml</v>
          </cell>
          <cell r="F171">
            <v>45</v>
          </cell>
          <cell r="G171">
            <v>6421.5</v>
          </cell>
          <cell r="H171">
            <v>0</v>
          </cell>
          <cell r="I171" t="str">
            <v>4q2007</v>
          </cell>
        </row>
        <row r="172">
          <cell r="B172" t="str">
            <v>DP02F Celkom</v>
          </cell>
          <cell r="F172">
            <v>3712</v>
          </cell>
          <cell r="G172">
            <v>294955.8</v>
          </cell>
          <cell r="H172">
            <v>144.69999999999999</v>
          </cell>
        </row>
        <row r="173">
          <cell r="A173" t="str">
            <v>D0155</v>
          </cell>
          <cell r="B173" t="str">
            <v>DP02G</v>
          </cell>
          <cell r="C173" t="str">
            <v>DP0</v>
          </cell>
          <cell r="D173" t="str">
            <v>NEPRO, vanilková príchuť</v>
          </cell>
          <cell r="E173" t="str">
            <v>sol 1x237 ml</v>
          </cell>
          <cell r="F173">
            <v>11943</v>
          </cell>
          <cell r="G173">
            <v>1318450.1000000001</v>
          </cell>
          <cell r="H173">
            <v>0</v>
          </cell>
          <cell r="I173" t="str">
            <v>4q2007</v>
          </cell>
        </row>
        <row r="174">
          <cell r="A174" t="str">
            <v>D0156</v>
          </cell>
          <cell r="B174" t="str">
            <v>DP02G</v>
          </cell>
          <cell r="C174" t="str">
            <v>DP0</v>
          </cell>
          <cell r="D174" t="str">
            <v>NEPRO, vanilková príchuť</v>
          </cell>
          <cell r="E174" t="str">
            <v>sol 1x500 ml</v>
          </cell>
          <cell r="F174">
            <v>10</v>
          </cell>
          <cell r="G174">
            <v>655</v>
          </cell>
          <cell r="H174">
            <v>485</v>
          </cell>
          <cell r="I174" t="str">
            <v>4q2007</v>
          </cell>
        </row>
        <row r="175">
          <cell r="B175" t="str">
            <v>DP02G Celkom</v>
          </cell>
          <cell r="F175">
            <v>11953</v>
          </cell>
          <cell r="G175">
            <v>1319105.1000000001</v>
          </cell>
          <cell r="H175">
            <v>485</v>
          </cell>
        </row>
        <row r="176">
          <cell r="A176" t="str">
            <v>D0054</v>
          </cell>
          <cell r="B176" t="str">
            <v>DP02H</v>
          </cell>
          <cell r="C176" t="str">
            <v>DP0</v>
          </cell>
          <cell r="D176" t="str">
            <v>FRESUBIN HEPA,  príchuť mandarínková</v>
          </cell>
          <cell r="E176" t="str">
            <v>sol 1x500 ml</v>
          </cell>
          <cell r="F176">
            <v>233</v>
          </cell>
          <cell r="G176">
            <v>36420.9</v>
          </cell>
          <cell r="H176">
            <v>0</v>
          </cell>
          <cell r="I176" t="str">
            <v>4q2007</v>
          </cell>
        </row>
        <row r="177">
          <cell r="A177" t="str">
            <v>D0055</v>
          </cell>
          <cell r="B177" t="str">
            <v>DP02H</v>
          </cell>
          <cell r="C177" t="str">
            <v>DP0</v>
          </cell>
          <cell r="D177" t="str">
            <v>FRESUBIN HEPA,  príchuť kapučíno</v>
          </cell>
          <cell r="E177" t="str">
            <v>sol 1x500 ml</v>
          </cell>
          <cell r="F177">
            <v>1210</v>
          </cell>
          <cell r="G177">
            <v>190028.9</v>
          </cell>
          <cell r="H177">
            <v>0</v>
          </cell>
          <cell r="I177" t="str">
            <v>4q2007</v>
          </cell>
        </row>
        <row r="178">
          <cell r="B178" t="str">
            <v>DP02H Celkom</v>
          </cell>
          <cell r="F178">
            <v>1443</v>
          </cell>
          <cell r="G178">
            <v>226449.8</v>
          </cell>
          <cell r="H178">
            <v>0</v>
          </cell>
        </row>
        <row r="179">
          <cell r="A179" t="str">
            <v>D0010</v>
          </cell>
          <cell r="B179" t="str">
            <v>DP02I</v>
          </cell>
          <cell r="C179" t="str">
            <v>DP0</v>
          </cell>
          <cell r="D179" t="str">
            <v>PULMOCARE, vanilková príchuť</v>
          </cell>
          <cell r="E179" t="str">
            <v>sol 1x250 ml</v>
          </cell>
          <cell r="F179">
            <v>46</v>
          </cell>
          <cell r="G179">
            <v>3615.6</v>
          </cell>
          <cell r="H179">
            <v>193.2</v>
          </cell>
          <cell r="I179" t="str">
            <v>4q2007</v>
          </cell>
        </row>
        <row r="180">
          <cell r="A180" t="str">
            <v>D0157</v>
          </cell>
          <cell r="B180" t="str">
            <v>DP02I</v>
          </cell>
          <cell r="C180" t="str">
            <v>DP0</v>
          </cell>
          <cell r="D180" t="str">
            <v>PULMOCARE, vanilková príchuť</v>
          </cell>
          <cell r="E180" t="str">
            <v>sol 1x500 ml</v>
          </cell>
          <cell r="F180">
            <v>197</v>
          </cell>
          <cell r="G180">
            <v>30948.7</v>
          </cell>
          <cell r="H180">
            <v>0</v>
          </cell>
          <cell r="I180" t="str">
            <v>4q2007</v>
          </cell>
        </row>
        <row r="181">
          <cell r="B181" t="str">
            <v>DP02I Celkom</v>
          </cell>
          <cell r="F181">
            <v>243</v>
          </cell>
          <cell r="G181">
            <v>34564.300000000003</v>
          </cell>
          <cell r="H181">
            <v>193.2</v>
          </cell>
        </row>
        <row r="182">
          <cell r="A182" t="str">
            <v>D0158</v>
          </cell>
          <cell r="B182" t="str">
            <v>DP02J</v>
          </cell>
          <cell r="C182" t="str">
            <v>DP0</v>
          </cell>
          <cell r="D182" t="str">
            <v>PROSURE, vanilková príchuť</v>
          </cell>
          <cell r="E182" t="str">
            <v>sol 1x240 ml</v>
          </cell>
          <cell r="F182">
            <v>18706</v>
          </cell>
          <cell r="G182">
            <v>1694503.1</v>
          </cell>
          <cell r="H182">
            <v>0</v>
          </cell>
          <cell r="I182" t="str">
            <v>4q2007</v>
          </cell>
        </row>
        <row r="183">
          <cell r="A183" t="str">
            <v>D0159</v>
          </cell>
          <cell r="B183" t="str">
            <v>DP02J</v>
          </cell>
          <cell r="C183" t="str">
            <v>DP0</v>
          </cell>
          <cell r="D183" t="str">
            <v>PROSURE, banánová príchuť</v>
          </cell>
          <cell r="E183" t="str">
            <v>sol 1x240 ml</v>
          </cell>
          <cell r="F183">
            <v>28890</v>
          </cell>
          <cell r="G183">
            <v>2613378.7000000002</v>
          </cell>
          <cell r="H183">
            <v>0</v>
          </cell>
          <cell r="I183" t="str">
            <v>4q2007</v>
          </cell>
        </row>
        <row r="184">
          <cell r="A184" t="str">
            <v>D0160</v>
          </cell>
          <cell r="B184" t="str">
            <v>DP02J</v>
          </cell>
          <cell r="C184" t="str">
            <v>DP0</v>
          </cell>
          <cell r="D184" t="str">
            <v>PROSURE, pomarančová príchuť</v>
          </cell>
          <cell r="E184" t="str">
            <v>sol 1x240 ml</v>
          </cell>
          <cell r="F184">
            <v>14204</v>
          </cell>
          <cell r="G184">
            <v>1285838.8</v>
          </cell>
          <cell r="H184">
            <v>0</v>
          </cell>
          <cell r="I184" t="str">
            <v>4q2007</v>
          </cell>
        </row>
        <row r="185">
          <cell r="A185" t="str">
            <v>D0244</v>
          </cell>
          <cell r="B185" t="str">
            <v>DP02J</v>
          </cell>
          <cell r="C185" t="str">
            <v>DP0</v>
          </cell>
          <cell r="D185" t="str">
            <v>MODULEN IBD</v>
          </cell>
          <cell r="E185" t="str">
            <v>plv 1x400 g</v>
          </cell>
          <cell r="F185">
            <v>172</v>
          </cell>
          <cell r="G185">
            <v>110351</v>
          </cell>
          <cell r="H185">
            <v>0</v>
          </cell>
          <cell r="I185" t="str">
            <v>4q2007</v>
          </cell>
        </row>
        <row r="186">
          <cell r="B186" t="str">
            <v>DP02J Celkom</v>
          </cell>
          <cell r="F186">
            <v>61972</v>
          </cell>
          <cell r="G186">
            <v>5704071.6000000006</v>
          </cell>
          <cell r="H186">
            <v>0</v>
          </cell>
        </row>
        <row r="187">
          <cell r="A187" t="str">
            <v>D0134</v>
          </cell>
          <cell r="B187" t="str">
            <v>DP02K</v>
          </cell>
          <cell r="C187" t="str">
            <v>DP0</v>
          </cell>
          <cell r="D187" t="str">
            <v>L-ARGINÍN</v>
          </cell>
          <cell r="E187" t="str">
            <v>plv 1x100 g</v>
          </cell>
          <cell r="F187">
            <v>16</v>
          </cell>
          <cell r="G187">
            <v>31848</v>
          </cell>
          <cell r="H187">
            <v>0</v>
          </cell>
          <cell r="I187" t="str">
            <v>4q2007</v>
          </cell>
        </row>
        <row r="188">
          <cell r="A188" t="str">
            <v>D0135</v>
          </cell>
          <cell r="B188" t="str">
            <v>DP02K</v>
          </cell>
          <cell r="C188" t="str">
            <v>DP0</v>
          </cell>
          <cell r="D188" t="str">
            <v>L-CITRULÍN</v>
          </cell>
          <cell r="E188" t="str">
            <v>plv 1x100 g</v>
          </cell>
          <cell r="F188">
            <v>1</v>
          </cell>
          <cell r="G188">
            <v>7990.5</v>
          </cell>
          <cell r="H188">
            <v>0</v>
          </cell>
          <cell r="I188" t="str">
            <v>4q2007</v>
          </cell>
        </row>
        <row r="189">
          <cell r="A189" t="str">
            <v>D0137</v>
          </cell>
          <cell r="B189" t="str">
            <v>DP02K</v>
          </cell>
          <cell r="C189" t="str">
            <v>DP0</v>
          </cell>
          <cell r="D189" t="str">
            <v>L-KARNITÍN</v>
          </cell>
          <cell r="E189" t="str">
            <v>plv 1x1 g</v>
          </cell>
          <cell r="F189">
            <v>1666</v>
          </cell>
          <cell r="G189">
            <v>435659</v>
          </cell>
          <cell r="H189">
            <v>0</v>
          </cell>
          <cell r="I189" t="str">
            <v>4q2007</v>
          </cell>
        </row>
        <row r="190">
          <cell r="A190" t="str">
            <v>D0233</v>
          </cell>
          <cell r="B190" t="str">
            <v>DP02K</v>
          </cell>
          <cell r="C190" t="str">
            <v>DP0</v>
          </cell>
          <cell r="D190" t="str">
            <v>L-CARNITINE IMUNA</v>
          </cell>
          <cell r="E190" t="str">
            <v>plv 30x1 g</v>
          </cell>
          <cell r="F190">
            <v>2</v>
          </cell>
          <cell r="G190">
            <v>15691</v>
          </cell>
          <cell r="H190">
            <v>0</v>
          </cell>
          <cell r="I190" t="str">
            <v>4q2007</v>
          </cell>
        </row>
        <row r="191">
          <cell r="A191" t="str">
            <v>D0320</v>
          </cell>
          <cell r="B191" t="str">
            <v>DP02K</v>
          </cell>
          <cell r="C191" t="str">
            <v>DP0</v>
          </cell>
          <cell r="D191" t="str">
            <v>MCT oil</v>
          </cell>
          <cell r="E191" t="str">
            <v>oil 1x500 ml</v>
          </cell>
          <cell r="F191">
            <v>11</v>
          </cell>
          <cell r="G191">
            <v>18078.5</v>
          </cell>
          <cell r="H191">
            <v>951.5</v>
          </cell>
          <cell r="I191" t="str">
            <v>4q2007</v>
          </cell>
        </row>
        <row r="192">
          <cell r="B192" t="str">
            <v>DP02K Celkom</v>
          </cell>
          <cell r="F192">
            <v>1696</v>
          </cell>
          <cell r="G192">
            <v>509267</v>
          </cell>
          <cell r="H192">
            <v>951.5</v>
          </cell>
        </row>
        <row r="193">
          <cell r="A193" t="str">
            <v>D0063</v>
          </cell>
          <cell r="B193" t="str">
            <v>DP03A</v>
          </cell>
          <cell r="C193" t="str">
            <v>DP0</v>
          </cell>
          <cell r="D193" t="str">
            <v>HAMILON HA 1 HYPOALERGÉNNY</v>
          </cell>
          <cell r="E193" t="str">
            <v>plv 1x300 g</v>
          </cell>
          <cell r="F193">
            <v>1</v>
          </cell>
          <cell r="G193">
            <v>94.4</v>
          </cell>
          <cell r="H193">
            <v>96</v>
          </cell>
          <cell r="I193" t="str">
            <v>4q2007</v>
          </cell>
        </row>
        <row r="194">
          <cell r="A194" t="str">
            <v>D0064</v>
          </cell>
          <cell r="B194" t="str">
            <v>DP03A</v>
          </cell>
          <cell r="C194" t="str">
            <v>DP0</v>
          </cell>
          <cell r="D194" t="str">
            <v>HAMILON HA 2  HYPOALERGÉNNY</v>
          </cell>
          <cell r="E194" t="str">
            <v>plv 1x300 g</v>
          </cell>
          <cell r="F194">
            <v>3</v>
          </cell>
          <cell r="G194">
            <v>277.5</v>
          </cell>
          <cell r="H194">
            <v>293.7</v>
          </cell>
          <cell r="I194" t="str">
            <v>4q2007</v>
          </cell>
        </row>
        <row r="195">
          <cell r="A195" t="str">
            <v>D0112</v>
          </cell>
          <cell r="B195" t="str">
            <v>DP03A</v>
          </cell>
          <cell r="C195" t="str">
            <v>DP0</v>
          </cell>
          <cell r="D195" t="str">
            <v>BEBA H.A. 2 BIFIDUS</v>
          </cell>
          <cell r="E195" t="str">
            <v>plv 1x750 g</v>
          </cell>
          <cell r="F195">
            <v>215</v>
          </cell>
          <cell r="G195">
            <v>46907.7</v>
          </cell>
          <cell r="H195">
            <v>54688.3</v>
          </cell>
          <cell r="I195" t="str">
            <v>4q2007</v>
          </cell>
        </row>
        <row r="196">
          <cell r="A196" t="str">
            <v>D0114</v>
          </cell>
          <cell r="B196" t="str">
            <v>DP03A</v>
          </cell>
          <cell r="C196" t="str">
            <v>DP0</v>
          </cell>
          <cell r="D196" t="str">
            <v>BEBA 2 HA Premium</v>
          </cell>
          <cell r="E196" t="str">
            <v>plv 1x750 g</v>
          </cell>
          <cell r="F196">
            <v>7437</v>
          </cell>
          <cell r="G196">
            <v>1623910.7</v>
          </cell>
          <cell r="H196">
            <v>2068874.5</v>
          </cell>
          <cell r="I196" t="str">
            <v>4q2007</v>
          </cell>
        </row>
        <row r="197">
          <cell r="A197" t="str">
            <v>D0117</v>
          </cell>
          <cell r="B197" t="str">
            <v>DP03A</v>
          </cell>
          <cell r="C197" t="str">
            <v>DP0</v>
          </cell>
          <cell r="D197" t="str">
            <v>BEBA 1 HA Premium</v>
          </cell>
          <cell r="E197" t="str">
            <v>plv 1x750 g</v>
          </cell>
          <cell r="F197">
            <v>6691.5</v>
          </cell>
          <cell r="G197">
            <v>1668795.45</v>
          </cell>
          <cell r="H197">
            <v>1670339.73</v>
          </cell>
          <cell r="I197" t="str">
            <v>4q2007</v>
          </cell>
        </row>
        <row r="198">
          <cell r="A198" t="str">
            <v>D0121</v>
          </cell>
          <cell r="B198" t="str">
            <v>DP03A</v>
          </cell>
          <cell r="C198" t="str">
            <v>DP0</v>
          </cell>
          <cell r="D198" t="str">
            <v>NUTRILON HA 1 HYPOALERGÉNNY</v>
          </cell>
          <cell r="E198" t="str">
            <v>plv 1x400 g</v>
          </cell>
          <cell r="F198">
            <v>12161</v>
          </cell>
          <cell r="G198">
            <v>1498460.3</v>
          </cell>
          <cell r="H198">
            <v>1664823.89</v>
          </cell>
          <cell r="I198" t="str">
            <v>4q2007</v>
          </cell>
        </row>
        <row r="199">
          <cell r="A199" t="str">
            <v>D0122</v>
          </cell>
          <cell r="B199" t="str">
            <v>DP03A</v>
          </cell>
          <cell r="C199" t="str">
            <v>DP0</v>
          </cell>
          <cell r="D199" t="str">
            <v>NUTRILON HA 2 HYPOALERGÉNNY</v>
          </cell>
          <cell r="E199" t="str">
            <v>plv 1x400 g</v>
          </cell>
          <cell r="F199">
            <v>14752</v>
          </cell>
          <cell r="G199">
            <v>1811322.2</v>
          </cell>
          <cell r="H199">
            <v>2006477.9</v>
          </cell>
          <cell r="I199" t="str">
            <v>4q2007</v>
          </cell>
        </row>
        <row r="200">
          <cell r="A200" t="str">
            <v>D0143</v>
          </cell>
          <cell r="B200" t="str">
            <v>DP03A</v>
          </cell>
          <cell r="C200" t="str">
            <v>DP0</v>
          </cell>
          <cell r="D200" t="str">
            <v>NUTRILON 1 OMNEO</v>
          </cell>
          <cell r="E200" t="str">
            <v>plv 1x400 g</v>
          </cell>
          <cell r="F200">
            <v>2036</v>
          </cell>
          <cell r="G200">
            <v>226742.7</v>
          </cell>
          <cell r="H200">
            <v>295039.7</v>
          </cell>
          <cell r="I200" t="str">
            <v>4q2007</v>
          </cell>
        </row>
        <row r="201">
          <cell r="A201" t="str">
            <v>D0144</v>
          </cell>
          <cell r="B201" t="str">
            <v>DP03A</v>
          </cell>
          <cell r="C201" t="str">
            <v>DP0</v>
          </cell>
          <cell r="D201" t="str">
            <v>NUTRILON 2 OMNEO</v>
          </cell>
          <cell r="E201" t="str">
            <v>plv 1x400 g</v>
          </cell>
          <cell r="F201">
            <v>1615</v>
          </cell>
          <cell r="G201">
            <v>170885.5</v>
          </cell>
          <cell r="H201">
            <v>238073.8</v>
          </cell>
          <cell r="I201" t="str">
            <v>4q2007</v>
          </cell>
        </row>
        <row r="202">
          <cell r="A202" t="str">
            <v>D0228</v>
          </cell>
          <cell r="B202" t="str">
            <v>DP03A</v>
          </cell>
          <cell r="C202" t="str">
            <v>DP0</v>
          </cell>
          <cell r="D202" t="str">
            <v>Humana HA 2</v>
          </cell>
          <cell r="E202" t="str">
            <v>plv 1x650 g</v>
          </cell>
          <cell r="F202">
            <v>322</v>
          </cell>
          <cell r="G202">
            <v>60762.8</v>
          </cell>
          <cell r="H202">
            <v>76294.7</v>
          </cell>
          <cell r="I202" t="str">
            <v>4q2007</v>
          </cell>
        </row>
        <row r="203">
          <cell r="A203" t="str">
            <v>D0229</v>
          </cell>
          <cell r="B203" t="str">
            <v>DP03A</v>
          </cell>
          <cell r="C203" t="str">
            <v>DP0</v>
          </cell>
          <cell r="D203" t="str">
            <v>Humana HA 1</v>
          </cell>
          <cell r="E203" t="str">
            <v>plv 1x650 g</v>
          </cell>
          <cell r="F203">
            <v>1077</v>
          </cell>
          <cell r="G203">
            <v>219217.2</v>
          </cell>
          <cell r="H203">
            <v>234715</v>
          </cell>
          <cell r="I203" t="str">
            <v>4q2007</v>
          </cell>
        </row>
        <row r="204">
          <cell r="A204" t="str">
            <v>D0257</v>
          </cell>
          <cell r="B204" t="str">
            <v>DP03A</v>
          </cell>
          <cell r="C204" t="str">
            <v>DP0</v>
          </cell>
          <cell r="D204" t="str">
            <v>Nutrilon 2 Comfort</v>
          </cell>
          <cell r="E204" t="str">
            <v>plv 1x400 g</v>
          </cell>
          <cell r="F204">
            <v>268</v>
          </cell>
          <cell r="G204">
            <v>28816.1</v>
          </cell>
          <cell r="H204">
            <v>37836.1</v>
          </cell>
          <cell r="I204" t="str">
            <v>4q2007</v>
          </cell>
        </row>
        <row r="205">
          <cell r="A205" t="str">
            <v>D0258</v>
          </cell>
          <cell r="B205" t="str">
            <v>DP03A</v>
          </cell>
          <cell r="C205" t="str">
            <v>DP0</v>
          </cell>
          <cell r="D205" t="str">
            <v>Nutrilon 1 Comfort</v>
          </cell>
          <cell r="E205" t="str">
            <v>plv 1x400 g</v>
          </cell>
          <cell r="F205">
            <v>205</v>
          </cell>
          <cell r="G205">
            <v>22372.1</v>
          </cell>
          <cell r="H205">
            <v>29305.1</v>
          </cell>
          <cell r="I205" t="str">
            <v>4q2007</v>
          </cell>
        </row>
        <row r="206">
          <cell r="A206" t="str">
            <v>D0259</v>
          </cell>
          <cell r="B206" t="str">
            <v>DP03A</v>
          </cell>
          <cell r="C206" t="str">
            <v>DP0</v>
          </cell>
          <cell r="D206" t="str">
            <v>Hami 2 HA</v>
          </cell>
          <cell r="E206" t="str">
            <v>plv 1x300 g</v>
          </cell>
          <cell r="F206">
            <v>567</v>
          </cell>
          <cell r="G206">
            <v>53275.1</v>
          </cell>
          <cell r="H206">
            <v>46871.9</v>
          </cell>
          <cell r="I206" t="str">
            <v>4q2007</v>
          </cell>
        </row>
        <row r="207">
          <cell r="A207" t="str">
            <v>D0260</v>
          </cell>
          <cell r="B207" t="str">
            <v>DP03A</v>
          </cell>
          <cell r="C207" t="str">
            <v>DP0</v>
          </cell>
          <cell r="D207" t="str">
            <v>Hami 1  HA</v>
          </cell>
          <cell r="E207" t="str">
            <v>plv 1x300 g</v>
          </cell>
          <cell r="F207">
            <v>263</v>
          </cell>
          <cell r="G207">
            <v>24388.3</v>
          </cell>
          <cell r="H207">
            <v>23821</v>
          </cell>
          <cell r="I207" t="str">
            <v>4q2007</v>
          </cell>
        </row>
        <row r="208">
          <cell r="A208" t="str">
            <v>D0287</v>
          </cell>
          <cell r="B208" t="str">
            <v>DP03A</v>
          </cell>
          <cell r="C208" t="str">
            <v>DP0</v>
          </cell>
          <cell r="D208" t="str">
            <v>Humana HA 1</v>
          </cell>
          <cell r="E208" t="str">
            <v>plv 1x600 g</v>
          </cell>
          <cell r="F208">
            <v>669</v>
          </cell>
          <cell r="G208">
            <v>136500.1</v>
          </cell>
          <cell r="H208">
            <v>154163.6</v>
          </cell>
          <cell r="I208" t="str">
            <v>4q2007</v>
          </cell>
        </row>
        <row r="209">
          <cell r="A209" t="str">
            <v>D0288</v>
          </cell>
          <cell r="B209" t="str">
            <v>DP03A</v>
          </cell>
          <cell r="C209" t="str">
            <v>DP0</v>
          </cell>
          <cell r="D209" t="str">
            <v>Humana HA 2</v>
          </cell>
          <cell r="E209" t="str">
            <v>plv 1x600 g</v>
          </cell>
          <cell r="F209">
            <v>1004</v>
          </cell>
          <cell r="G209">
            <v>193593.5</v>
          </cell>
          <cell r="H209">
            <v>223064.7</v>
          </cell>
          <cell r="I209" t="str">
            <v>4q2007</v>
          </cell>
        </row>
        <row r="210">
          <cell r="A210" t="str">
            <v>D0314</v>
          </cell>
          <cell r="B210" t="str">
            <v>DP03A</v>
          </cell>
          <cell r="C210" t="str">
            <v>DP0</v>
          </cell>
          <cell r="D210" t="str">
            <v>Beba 3 H.A. Junior</v>
          </cell>
          <cell r="E210" t="str">
            <v>plv 1x 750 g</v>
          </cell>
          <cell r="F210">
            <v>336</v>
          </cell>
          <cell r="G210">
            <v>71665.3</v>
          </cell>
          <cell r="H210">
            <v>97091.7</v>
          </cell>
          <cell r="I210" t="str">
            <v>4q2007</v>
          </cell>
        </row>
        <row r="211">
          <cell r="B211" t="str">
            <v>DP03A Celkom</v>
          </cell>
          <cell r="F211">
            <v>49622.5</v>
          </cell>
          <cell r="G211">
            <v>7857986.9499999983</v>
          </cell>
          <cell r="H211">
            <v>8921871.3199999966</v>
          </cell>
        </row>
        <row r="212">
          <cell r="A212" t="str">
            <v>D0061</v>
          </cell>
          <cell r="B212" t="str">
            <v>DP03B</v>
          </cell>
          <cell r="C212" t="str">
            <v>DP0</v>
          </cell>
          <cell r="D212" t="str">
            <v>NUTRILON 1 LOW LACTOSE</v>
          </cell>
          <cell r="E212" t="str">
            <v>plv 1x400 g</v>
          </cell>
          <cell r="F212">
            <v>1668</v>
          </cell>
          <cell r="G212">
            <v>146603.70000000001</v>
          </cell>
          <cell r="H212">
            <v>190712.3</v>
          </cell>
          <cell r="I212" t="str">
            <v>4q2007</v>
          </cell>
        </row>
        <row r="213">
          <cell r="A213" t="str">
            <v>D0119</v>
          </cell>
          <cell r="B213" t="str">
            <v>DP03B</v>
          </cell>
          <cell r="C213" t="str">
            <v>DP0</v>
          </cell>
          <cell r="D213" t="str">
            <v>AL110</v>
          </cell>
          <cell r="E213" t="str">
            <v>plv 1x400 g</v>
          </cell>
          <cell r="F213">
            <v>1220</v>
          </cell>
          <cell r="G213">
            <v>106199</v>
          </cell>
          <cell r="H213">
            <v>157580.70000000001</v>
          </cell>
          <cell r="I213" t="str">
            <v>4q2007</v>
          </cell>
        </row>
        <row r="214">
          <cell r="B214" t="str">
            <v>DP03B Celkom</v>
          </cell>
          <cell r="F214">
            <v>2888</v>
          </cell>
          <cell r="G214">
            <v>252802.7</v>
          </cell>
          <cell r="H214">
            <v>348293</v>
          </cell>
        </row>
        <row r="215">
          <cell r="A215" t="str">
            <v>D0065</v>
          </cell>
          <cell r="B215" t="str">
            <v>DP03C</v>
          </cell>
          <cell r="C215" t="str">
            <v>DP0</v>
          </cell>
          <cell r="D215" t="str">
            <v>NUTRILON 1 A.R.</v>
          </cell>
          <cell r="E215" t="str">
            <v>plv 1x400 g</v>
          </cell>
          <cell r="F215">
            <v>5727</v>
          </cell>
          <cell r="G215">
            <v>551985</v>
          </cell>
          <cell r="H215">
            <v>603168</v>
          </cell>
          <cell r="I215" t="str">
            <v>4q2007</v>
          </cell>
        </row>
        <row r="216">
          <cell r="A216" t="str">
            <v>D0066</v>
          </cell>
          <cell r="B216" t="str">
            <v>DP03C</v>
          </cell>
          <cell r="C216" t="str">
            <v>DP0</v>
          </cell>
          <cell r="D216" t="str">
            <v>NUTRILON 2 A.R.</v>
          </cell>
          <cell r="E216" t="str">
            <v>plv 1x400 g</v>
          </cell>
          <cell r="F216">
            <v>10082</v>
          </cell>
          <cell r="G216">
            <v>904809.8</v>
          </cell>
          <cell r="H216">
            <v>1113349.6000000001</v>
          </cell>
          <cell r="I216" t="str">
            <v>4q2007</v>
          </cell>
        </row>
        <row r="217">
          <cell r="A217" t="str">
            <v>D0113</v>
          </cell>
          <cell r="B217" t="str">
            <v>DP03C</v>
          </cell>
          <cell r="C217" t="str">
            <v>DP0</v>
          </cell>
          <cell r="D217" t="str">
            <v>BEBA 1 A.R.</v>
          </cell>
          <cell r="E217" t="str">
            <v>plv 1x750 g</v>
          </cell>
          <cell r="F217">
            <v>1991</v>
          </cell>
          <cell r="G217">
            <v>375514.4</v>
          </cell>
          <cell r="H217">
            <v>473472.8</v>
          </cell>
          <cell r="I217" t="str">
            <v>4q2007</v>
          </cell>
        </row>
        <row r="218">
          <cell r="A218" t="str">
            <v>D0217</v>
          </cell>
          <cell r="B218" t="str">
            <v>DP03C</v>
          </cell>
          <cell r="C218" t="str">
            <v>DP0</v>
          </cell>
          <cell r="D218" t="str">
            <v>NUTRITON</v>
          </cell>
          <cell r="E218" t="str">
            <v>plv 1x135 g</v>
          </cell>
          <cell r="F218">
            <v>339</v>
          </cell>
          <cell r="G218">
            <v>9767.6</v>
          </cell>
          <cell r="H218">
            <v>76352.7</v>
          </cell>
          <cell r="I218" t="str">
            <v>4q2007</v>
          </cell>
        </row>
        <row r="219">
          <cell r="A219" t="str">
            <v>D0235</v>
          </cell>
          <cell r="B219" t="str">
            <v>DP03C</v>
          </cell>
          <cell r="C219" t="str">
            <v>DP0</v>
          </cell>
          <cell r="D219" t="str">
            <v>HUMANA AR</v>
          </cell>
          <cell r="E219" t="str">
            <v>plv 1x400 g</v>
          </cell>
          <cell r="F219">
            <v>1500</v>
          </cell>
          <cell r="G219">
            <v>150458.9</v>
          </cell>
          <cell r="H219">
            <v>168083.1</v>
          </cell>
          <cell r="I219" t="str">
            <v>4q2007</v>
          </cell>
        </row>
        <row r="220">
          <cell r="B220" t="str">
            <v>DP03C Celkom</v>
          </cell>
          <cell r="F220">
            <v>19639</v>
          </cell>
          <cell r="G220">
            <v>1992535.7000000002</v>
          </cell>
          <cell r="H220">
            <v>2434426.2000000002</v>
          </cell>
        </row>
        <row r="221">
          <cell r="A221" t="str">
            <v>D0059</v>
          </cell>
          <cell r="B221" t="str">
            <v>DP03D</v>
          </cell>
          <cell r="C221" t="str">
            <v>DP0</v>
          </cell>
          <cell r="D221" t="str">
            <v>NUTRILON 1 PEPTI</v>
          </cell>
          <cell r="E221" t="str">
            <v>plv 1x450 g</v>
          </cell>
          <cell r="F221">
            <v>998</v>
          </cell>
          <cell r="G221">
            <v>160796</v>
          </cell>
          <cell r="H221">
            <v>142481.79999999999</v>
          </cell>
          <cell r="I221" t="str">
            <v>4q2007</v>
          </cell>
        </row>
        <row r="222">
          <cell r="A222" t="str">
            <v>D0230</v>
          </cell>
          <cell r="B222" t="str">
            <v>DP03D</v>
          </cell>
          <cell r="C222" t="str">
            <v>DP0</v>
          </cell>
          <cell r="D222" t="str">
            <v>NUTRILON 2 PEPTI</v>
          </cell>
          <cell r="E222" t="str">
            <v>plv 1x450 g</v>
          </cell>
          <cell r="F222">
            <v>3650</v>
          </cell>
          <cell r="G222">
            <v>667282.30000000005</v>
          </cell>
          <cell r="H222">
            <v>430309.9</v>
          </cell>
          <cell r="I222" t="str">
            <v>4q2007</v>
          </cell>
        </row>
        <row r="223">
          <cell r="B223" t="str">
            <v>DP03D Celkom</v>
          </cell>
          <cell r="F223">
            <v>4648</v>
          </cell>
          <cell r="G223">
            <v>828078.3</v>
          </cell>
          <cell r="H223">
            <v>572791.69999999995</v>
          </cell>
        </row>
        <row r="224">
          <cell r="A224" t="str">
            <v>D0060</v>
          </cell>
          <cell r="B224" t="str">
            <v>DP03E</v>
          </cell>
          <cell r="C224" t="str">
            <v>DP0</v>
          </cell>
          <cell r="D224" t="str">
            <v>NUTRILON PEPTI MCT</v>
          </cell>
          <cell r="E224" t="str">
            <v>plv 1x450 g</v>
          </cell>
          <cell r="F224">
            <v>710</v>
          </cell>
          <cell r="G224">
            <v>250441.8</v>
          </cell>
          <cell r="H224">
            <v>83495.199999999997</v>
          </cell>
          <cell r="I224" t="str">
            <v>4q2007</v>
          </cell>
        </row>
        <row r="225">
          <cell r="A225" t="str">
            <v>D0120</v>
          </cell>
          <cell r="B225" t="str">
            <v>DP03E</v>
          </cell>
          <cell r="C225" t="str">
            <v>DP0</v>
          </cell>
          <cell r="D225" t="str">
            <v>ALFARE</v>
          </cell>
          <cell r="E225" t="str">
            <v>plv 1x400 g</v>
          </cell>
          <cell r="F225">
            <v>511</v>
          </cell>
          <cell r="G225">
            <v>143168.70000000001</v>
          </cell>
          <cell r="H225">
            <v>92194.6</v>
          </cell>
          <cell r="I225" t="str">
            <v>4q2007</v>
          </cell>
        </row>
        <row r="226">
          <cell r="B226" t="str">
            <v>DP03E Celkom</v>
          </cell>
          <cell r="F226">
            <v>1221</v>
          </cell>
          <cell r="G226">
            <v>393610.5</v>
          </cell>
          <cell r="H226">
            <v>175689.8</v>
          </cell>
        </row>
        <row r="227">
          <cell r="A227" t="str">
            <v>D0128</v>
          </cell>
          <cell r="B227" t="str">
            <v>DP03F</v>
          </cell>
          <cell r="C227" t="str">
            <v>DP0</v>
          </cell>
          <cell r="D227" t="str">
            <v>NEOCATE</v>
          </cell>
          <cell r="E227" t="str">
            <v>plv 1x400 g</v>
          </cell>
          <cell r="F227">
            <v>752</v>
          </cell>
          <cell r="G227">
            <v>1578664.4</v>
          </cell>
          <cell r="H227">
            <v>90114.6</v>
          </cell>
          <cell r="I227" t="str">
            <v>4q2007</v>
          </cell>
        </row>
        <row r="228">
          <cell r="A228" t="str">
            <v>D0246</v>
          </cell>
          <cell r="B228" t="str">
            <v>DP03F</v>
          </cell>
          <cell r="C228" t="str">
            <v>DP0</v>
          </cell>
          <cell r="D228" t="str">
            <v>NEOCATE ADVANCE</v>
          </cell>
          <cell r="E228" t="str">
            <v>plv 1x400 g</v>
          </cell>
          <cell r="F228">
            <v>726</v>
          </cell>
          <cell r="G228">
            <v>1544693.64</v>
          </cell>
          <cell r="H228">
            <v>89813.5</v>
          </cell>
          <cell r="I228" t="str">
            <v>4q2007</v>
          </cell>
        </row>
        <row r="229">
          <cell r="B229" t="str">
            <v>DP03F Celkom</v>
          </cell>
          <cell r="F229">
            <v>1478</v>
          </cell>
          <cell r="G229">
            <v>3123358.04</v>
          </cell>
          <cell r="H229">
            <v>179928.1</v>
          </cell>
        </row>
        <row r="230">
          <cell r="A230" t="str">
            <v>D0008</v>
          </cell>
          <cell r="B230" t="str">
            <v>DP03G</v>
          </cell>
          <cell r="C230" t="str">
            <v>DP0</v>
          </cell>
          <cell r="D230" t="str">
            <v>ISOMIL 400</v>
          </cell>
          <cell r="E230" t="str">
            <v>plv 1x400 g</v>
          </cell>
          <cell r="F230">
            <v>1</v>
          </cell>
          <cell r="G230">
            <v>23.7</v>
          </cell>
          <cell r="H230">
            <v>134.19999999999999</v>
          </cell>
          <cell r="I230" t="str">
            <v>4q2007</v>
          </cell>
        </row>
        <row r="231">
          <cell r="A231" t="str">
            <v>D0058</v>
          </cell>
          <cell r="B231" t="str">
            <v>DP03G</v>
          </cell>
          <cell r="C231" t="str">
            <v>DP0</v>
          </cell>
          <cell r="D231" t="str">
            <v>NUTRILON 1 SOYA</v>
          </cell>
          <cell r="E231" t="str">
            <v>plv 1x400 g</v>
          </cell>
          <cell r="F231">
            <v>157</v>
          </cell>
          <cell r="G231">
            <v>3126.3</v>
          </cell>
          <cell r="H231">
            <v>32642</v>
          </cell>
          <cell r="I231" t="str">
            <v>4q2007</v>
          </cell>
        </row>
        <row r="232">
          <cell r="B232" t="str">
            <v>DP03G Celkom</v>
          </cell>
          <cell r="F232">
            <v>158</v>
          </cell>
          <cell r="G232">
            <v>3150</v>
          </cell>
          <cell r="H232">
            <v>32776.199999999997</v>
          </cell>
        </row>
        <row r="233">
          <cell r="A233" t="str">
            <v>D0062</v>
          </cell>
          <cell r="B233" t="str">
            <v>DP03H</v>
          </cell>
          <cell r="C233" t="str">
            <v>DP0</v>
          </cell>
          <cell r="D233" t="str">
            <v>NUTRILON NENATAL LCP</v>
          </cell>
          <cell r="E233" t="str">
            <v>plv 1x400 g</v>
          </cell>
          <cell r="F233">
            <v>199</v>
          </cell>
          <cell r="G233">
            <v>48811.5</v>
          </cell>
          <cell r="H233">
            <v>26526.9</v>
          </cell>
          <cell r="I233" t="str">
            <v>4q2007</v>
          </cell>
        </row>
        <row r="234">
          <cell r="A234" t="str">
            <v>D0118</v>
          </cell>
          <cell r="B234" t="str">
            <v>DP03H</v>
          </cell>
          <cell r="C234" t="str">
            <v>DP0</v>
          </cell>
          <cell r="D234" t="str">
            <v>ALPREM</v>
          </cell>
          <cell r="E234" t="str">
            <v>plv 1x400 g</v>
          </cell>
          <cell r="F234">
            <v>5</v>
          </cell>
          <cell r="G234">
            <v>1311.5</v>
          </cell>
          <cell r="H234">
            <v>128.1</v>
          </cell>
          <cell r="I234" t="str">
            <v>4q2007</v>
          </cell>
        </row>
        <row r="235">
          <cell r="A235" t="str">
            <v>D0142</v>
          </cell>
          <cell r="B235" t="str">
            <v>DP03H</v>
          </cell>
          <cell r="C235" t="str">
            <v>DP0</v>
          </cell>
          <cell r="D235" t="str">
            <v>NUTRILON BMF</v>
          </cell>
          <cell r="E235" t="str">
            <v>plv 50x2,1 g</v>
          </cell>
          <cell r="F235">
            <v>27</v>
          </cell>
          <cell r="G235">
            <v>18717.3</v>
          </cell>
          <cell r="H235">
            <v>1821.4</v>
          </cell>
          <cell r="I235" t="str">
            <v>4q2007</v>
          </cell>
        </row>
        <row r="236">
          <cell r="A236" t="str">
            <v>D0236</v>
          </cell>
          <cell r="B236" t="str">
            <v>DP03H</v>
          </cell>
          <cell r="C236" t="str">
            <v>DP0</v>
          </cell>
          <cell r="D236" t="str">
            <v>BEBA ALPRÉM</v>
          </cell>
          <cell r="E236" t="str">
            <v>plv 1x400 g</v>
          </cell>
          <cell r="F236">
            <v>167</v>
          </cell>
          <cell r="G236">
            <v>39532.800000000003</v>
          </cell>
          <cell r="H236">
            <v>28930.5</v>
          </cell>
          <cell r="I236" t="str">
            <v>4q2007</v>
          </cell>
        </row>
        <row r="237">
          <cell r="A237" t="str">
            <v>D0278</v>
          </cell>
          <cell r="B237" t="str">
            <v>DP03H</v>
          </cell>
          <cell r="C237" t="str">
            <v>DP0</v>
          </cell>
          <cell r="D237" t="str">
            <v>Nutrilon 0 Nenatal</v>
          </cell>
          <cell r="E237" t="str">
            <v>plv 1x400 g</v>
          </cell>
          <cell r="F237">
            <v>254</v>
          </cell>
          <cell r="G237">
            <v>57073</v>
          </cell>
          <cell r="H237">
            <v>44554.6</v>
          </cell>
          <cell r="I237" t="str">
            <v>4q2007</v>
          </cell>
        </row>
        <row r="238">
          <cell r="A238" t="str">
            <v>D0315</v>
          </cell>
          <cell r="B238" t="str">
            <v>DP03H</v>
          </cell>
          <cell r="C238" t="str">
            <v>DP0</v>
          </cell>
          <cell r="D238" t="str">
            <v>FM 85</v>
          </cell>
          <cell r="E238" t="str">
            <v>plv 1x200 g</v>
          </cell>
          <cell r="F238">
            <v>13</v>
          </cell>
          <cell r="G238">
            <v>14117.2</v>
          </cell>
          <cell r="H238">
            <v>1408.6</v>
          </cell>
          <cell r="I238" t="str">
            <v>4q2007</v>
          </cell>
        </row>
        <row r="239">
          <cell r="B239" t="str">
            <v>DP03H Celkom</v>
          </cell>
          <cell r="F239">
            <v>665</v>
          </cell>
          <cell r="G239">
            <v>179563.30000000002</v>
          </cell>
          <cell r="H239">
            <v>103370.1</v>
          </cell>
        </row>
        <row r="240">
          <cell r="A240" t="str">
            <v>D0321</v>
          </cell>
          <cell r="B240" t="str">
            <v>DP03J</v>
          </cell>
          <cell r="C240" t="str">
            <v>DP0</v>
          </cell>
          <cell r="D240" t="str">
            <v>Infatrini</v>
          </cell>
          <cell r="E240" t="str">
            <v>sol 1x100 ml</v>
          </cell>
          <cell r="F240">
            <v>2924</v>
          </cell>
          <cell r="G240">
            <v>241120.9</v>
          </cell>
          <cell r="H240">
            <v>0</v>
          </cell>
          <cell r="I240" t="str">
            <v>4q2007</v>
          </cell>
        </row>
      </sheetData>
      <sheetData sheetId="5">
        <row r="2">
          <cell r="A2" t="str">
            <v>D0008</v>
          </cell>
          <cell r="B2" t="str">
            <v>DP03G</v>
          </cell>
          <cell r="C2" t="str">
            <v>DP0</v>
          </cell>
          <cell r="D2" t="str">
            <v>ISOMIL 400</v>
          </cell>
          <cell r="E2" t="str">
            <v>plv 1x400 g</v>
          </cell>
          <cell r="F2">
            <v>12</v>
          </cell>
          <cell r="G2">
            <v>410.1</v>
          </cell>
          <cell r="H2">
            <v>1336.8</v>
          </cell>
          <cell r="I2" t="str">
            <v>1q2008</v>
          </cell>
        </row>
        <row r="3">
          <cell r="B3" t="str">
            <v>DP03G Celkom</v>
          </cell>
          <cell r="F3">
            <v>12</v>
          </cell>
          <cell r="G3">
            <v>410.1</v>
          </cell>
          <cell r="H3">
            <v>1336.8</v>
          </cell>
        </row>
        <row r="4">
          <cell r="A4" t="str">
            <v>D0010</v>
          </cell>
          <cell r="B4" t="str">
            <v>DP02I</v>
          </cell>
          <cell r="C4" t="str">
            <v>DP0</v>
          </cell>
          <cell r="D4" t="str">
            <v>PULMOCARE, vanilková príchuť</v>
          </cell>
          <cell r="E4" t="str">
            <v>sol 1x250 ml</v>
          </cell>
          <cell r="F4">
            <v>45</v>
          </cell>
          <cell r="G4">
            <v>3882.5</v>
          </cell>
          <cell r="H4">
            <v>265.5</v>
          </cell>
          <cell r="I4" t="str">
            <v>1q2008</v>
          </cell>
        </row>
        <row r="5">
          <cell r="B5" t="str">
            <v>DP02I Celkom</v>
          </cell>
          <cell r="F5">
            <v>45</v>
          </cell>
          <cell r="G5">
            <v>3882.5</v>
          </cell>
          <cell r="H5">
            <v>265.5</v>
          </cell>
        </row>
        <row r="6">
          <cell r="A6" t="str">
            <v>D0012</v>
          </cell>
          <cell r="B6" t="str">
            <v>DP02C</v>
          </cell>
          <cell r="C6" t="str">
            <v>DP0</v>
          </cell>
          <cell r="D6" t="str">
            <v>ENSURE PLUS, vanilková príchuť</v>
          </cell>
          <cell r="E6" t="str">
            <v>sol 1x200 ml</v>
          </cell>
          <cell r="F6">
            <v>27053</v>
          </cell>
          <cell r="G6">
            <v>1396241.1</v>
          </cell>
          <cell r="H6">
            <v>0</v>
          </cell>
          <cell r="I6" t="str">
            <v>1q2008</v>
          </cell>
        </row>
        <row r="7">
          <cell r="A7" t="str">
            <v>D0013</v>
          </cell>
          <cell r="B7" t="str">
            <v>DP02C</v>
          </cell>
          <cell r="C7" t="str">
            <v>DP0</v>
          </cell>
          <cell r="D7" t="str">
            <v>ENSURE PLUS, čokoládová príchuť</v>
          </cell>
          <cell r="E7" t="str">
            <v>sol 1x200 ml</v>
          </cell>
          <cell r="F7">
            <v>95233</v>
          </cell>
          <cell r="G7">
            <v>4976556.4000000004</v>
          </cell>
          <cell r="H7">
            <v>0</v>
          </cell>
          <cell r="I7" t="str">
            <v>1q2008</v>
          </cell>
        </row>
        <row r="8">
          <cell r="A8" t="str">
            <v>D0014</v>
          </cell>
          <cell r="B8" t="str">
            <v>DP02C</v>
          </cell>
          <cell r="C8" t="str">
            <v>DP0</v>
          </cell>
          <cell r="D8" t="str">
            <v>ENSURE PLUS, bez príchute</v>
          </cell>
          <cell r="E8" t="str">
            <v>sol 1x200 ml</v>
          </cell>
          <cell r="F8">
            <v>22167</v>
          </cell>
          <cell r="G8">
            <v>1156604.8</v>
          </cell>
          <cell r="H8">
            <v>0</v>
          </cell>
          <cell r="I8" t="str">
            <v>1q2008</v>
          </cell>
        </row>
        <row r="9">
          <cell r="A9" t="str">
            <v>D0015</v>
          </cell>
          <cell r="B9" t="str">
            <v>DP02C</v>
          </cell>
          <cell r="C9" t="str">
            <v>DP0</v>
          </cell>
          <cell r="D9" t="str">
            <v>ENSURE PLUS, karamelová príchuť</v>
          </cell>
          <cell r="E9" t="str">
            <v>sol 1x200 ml</v>
          </cell>
          <cell r="F9">
            <v>29708</v>
          </cell>
          <cell r="G9">
            <v>1547977.26</v>
          </cell>
          <cell r="H9">
            <v>0</v>
          </cell>
          <cell r="I9" t="str">
            <v>1q2008</v>
          </cell>
        </row>
        <row r="10">
          <cell r="A10" t="str">
            <v>D0016</v>
          </cell>
          <cell r="B10" t="str">
            <v>DP02C</v>
          </cell>
          <cell r="C10" t="str">
            <v>DP0</v>
          </cell>
          <cell r="D10" t="str">
            <v>ENSURE PLUS, príchuť lesného ovocia</v>
          </cell>
          <cell r="E10" t="str">
            <v>sol 1x200 ml</v>
          </cell>
          <cell r="F10">
            <v>37274</v>
          </cell>
          <cell r="G10">
            <v>1941629.8</v>
          </cell>
          <cell r="H10">
            <v>0</v>
          </cell>
          <cell r="I10" t="str">
            <v>1q2008</v>
          </cell>
        </row>
        <row r="11">
          <cell r="A11" t="str">
            <v>D0017</v>
          </cell>
          <cell r="B11" t="str">
            <v>DP02C</v>
          </cell>
          <cell r="C11" t="str">
            <v>DP0</v>
          </cell>
          <cell r="D11" t="str">
            <v>FRESUBIN HP ENERGY, príchuť neutrálna</v>
          </cell>
          <cell r="E11" t="str">
            <v>sol 1x500 ml</v>
          </cell>
          <cell r="F11">
            <v>11</v>
          </cell>
          <cell r="G11">
            <v>1460.8</v>
          </cell>
          <cell r="H11">
            <v>991.1</v>
          </cell>
          <cell r="I11" t="str">
            <v>1q2008</v>
          </cell>
        </row>
        <row r="12">
          <cell r="A12" t="str">
            <v>D0018</v>
          </cell>
          <cell r="B12" t="str">
            <v>DP02C</v>
          </cell>
          <cell r="C12" t="str">
            <v>DP0</v>
          </cell>
          <cell r="D12" t="str">
            <v>FRESUBIN ENERGY, príchuť neutrálna</v>
          </cell>
          <cell r="E12" t="str">
            <v>sol 1x500 ml</v>
          </cell>
          <cell r="F12">
            <v>20</v>
          </cell>
          <cell r="G12">
            <v>2736</v>
          </cell>
          <cell r="H12">
            <v>1908</v>
          </cell>
          <cell r="I12" t="str">
            <v>1q2008</v>
          </cell>
        </row>
        <row r="13">
          <cell r="A13" t="str">
            <v>D0019</v>
          </cell>
          <cell r="B13" t="str">
            <v>DP02C</v>
          </cell>
          <cell r="C13" t="str">
            <v>DP0</v>
          </cell>
          <cell r="D13" t="str">
            <v>FRESUBIN ENERGY DRINK, príchuť vanilková</v>
          </cell>
          <cell r="E13" t="str">
            <v>sol 1x200 ml</v>
          </cell>
          <cell r="F13">
            <v>70</v>
          </cell>
          <cell r="G13">
            <v>1967</v>
          </cell>
          <cell r="H13">
            <v>532</v>
          </cell>
          <cell r="I13" t="str">
            <v>1q2008</v>
          </cell>
        </row>
        <row r="14">
          <cell r="B14" t="str">
            <v>DP02C Celkom</v>
          </cell>
          <cell r="F14">
            <v>211536</v>
          </cell>
          <cell r="G14">
            <v>11025173.160000002</v>
          </cell>
          <cell r="H14">
            <v>3431.1</v>
          </cell>
        </row>
        <row r="15">
          <cell r="A15" t="str">
            <v>D0021</v>
          </cell>
          <cell r="B15" t="str">
            <v>DP02D</v>
          </cell>
          <cell r="C15" t="str">
            <v>DP0</v>
          </cell>
          <cell r="D15" t="str">
            <v>FRESUBIN ENERGY FIBRE DRINK, príchuť čokoládová</v>
          </cell>
          <cell r="E15" t="str">
            <v>sol 1x200 ml</v>
          </cell>
          <cell r="F15">
            <v>1827</v>
          </cell>
          <cell r="G15">
            <v>95446.6</v>
          </cell>
          <cell r="H15">
            <v>0</v>
          </cell>
          <cell r="I15" t="str">
            <v>1q2008</v>
          </cell>
        </row>
        <row r="16">
          <cell r="A16" t="str">
            <v>D0022</v>
          </cell>
          <cell r="B16" t="str">
            <v>DP02D</v>
          </cell>
          <cell r="C16" t="str">
            <v>DP0</v>
          </cell>
          <cell r="D16" t="str">
            <v>FRESUBIN ENERGY FIBRE DRINK, príchuť kapučíno</v>
          </cell>
          <cell r="E16" t="str">
            <v>sol 1x200 ml</v>
          </cell>
          <cell r="F16">
            <v>393</v>
          </cell>
          <cell r="G16">
            <v>20690.400000000001</v>
          </cell>
          <cell r="H16">
            <v>0</v>
          </cell>
          <cell r="I16" t="str">
            <v>1q2008</v>
          </cell>
        </row>
        <row r="17">
          <cell r="A17" t="str">
            <v>D0023</v>
          </cell>
          <cell r="B17" t="str">
            <v>DP02D</v>
          </cell>
          <cell r="C17" t="str">
            <v>DP0</v>
          </cell>
          <cell r="D17" t="str">
            <v>FRESUBIN ENERGY FIBRE DRINK, príchuť citrónová</v>
          </cell>
          <cell r="E17" t="str">
            <v>sol 1x200 ml</v>
          </cell>
          <cell r="F17">
            <v>1083</v>
          </cell>
          <cell r="G17">
            <v>56569.4</v>
          </cell>
          <cell r="H17">
            <v>0</v>
          </cell>
          <cell r="I17" t="str">
            <v>1q2008</v>
          </cell>
        </row>
        <row r="18">
          <cell r="A18" t="str">
            <v>D0024</v>
          </cell>
          <cell r="B18" t="str">
            <v>DP02D</v>
          </cell>
          <cell r="C18" t="str">
            <v>DP0</v>
          </cell>
          <cell r="D18" t="str">
            <v>FRESUBIN ENERGY FIBRE DRINK, príchuť jahodová</v>
          </cell>
          <cell r="E18" t="str">
            <v>sol 1x200 ml</v>
          </cell>
          <cell r="F18">
            <v>1232</v>
          </cell>
          <cell r="G18">
            <v>63066.1</v>
          </cell>
          <cell r="H18">
            <v>0</v>
          </cell>
          <cell r="I18" t="str">
            <v>1q2008</v>
          </cell>
        </row>
        <row r="19">
          <cell r="B19" t="str">
            <v>DP02D Celkom</v>
          </cell>
          <cell r="F19">
            <v>4535</v>
          </cell>
          <cell r="G19">
            <v>235772.5</v>
          </cell>
          <cell r="H19">
            <v>0</v>
          </cell>
        </row>
        <row r="20">
          <cell r="A20" t="str">
            <v>D0025</v>
          </cell>
          <cell r="B20" t="str">
            <v>DP02A</v>
          </cell>
          <cell r="C20" t="str">
            <v>DP0</v>
          </cell>
          <cell r="D20" t="str">
            <v>FRESUBIN ORIGINAL, príchuť neutrálna</v>
          </cell>
          <cell r="E20" t="str">
            <v>sol 1x500 ml</v>
          </cell>
          <cell r="F20">
            <v>353</v>
          </cell>
          <cell r="G20">
            <v>35013.599999999999</v>
          </cell>
          <cell r="H20">
            <v>0</v>
          </cell>
          <cell r="I20" t="str">
            <v>1q2008</v>
          </cell>
        </row>
        <row r="21">
          <cell r="A21" t="str">
            <v>D0026</v>
          </cell>
          <cell r="B21" t="str">
            <v>DP02A</v>
          </cell>
          <cell r="C21" t="str">
            <v>DP0</v>
          </cell>
          <cell r="D21" t="str">
            <v>FRESUBIN ORIGINAL, príchuť oriešková</v>
          </cell>
          <cell r="E21" t="str">
            <v>sol 1x500 ml</v>
          </cell>
          <cell r="F21">
            <v>59</v>
          </cell>
          <cell r="G21">
            <v>5749</v>
          </cell>
          <cell r="H21">
            <v>0</v>
          </cell>
          <cell r="I21" t="str">
            <v>1q2008</v>
          </cell>
        </row>
        <row r="22">
          <cell r="A22" t="str">
            <v>D0027</v>
          </cell>
          <cell r="B22" t="str">
            <v>DP02A</v>
          </cell>
          <cell r="C22" t="str">
            <v>DP0</v>
          </cell>
          <cell r="D22" t="str">
            <v>FRESUBIN ORIGINAL, príchuť čokoládová</v>
          </cell>
          <cell r="E22" t="str">
            <v>sol 1x500 ml</v>
          </cell>
          <cell r="F22">
            <v>1217</v>
          </cell>
          <cell r="G22">
            <v>118536.5</v>
          </cell>
          <cell r="H22">
            <v>0</v>
          </cell>
          <cell r="I22" t="str">
            <v>1q2008</v>
          </cell>
        </row>
        <row r="23">
          <cell r="A23" t="str">
            <v>D0028</v>
          </cell>
          <cell r="B23" t="str">
            <v>DP02A</v>
          </cell>
          <cell r="C23" t="str">
            <v>DP0</v>
          </cell>
          <cell r="D23" t="str">
            <v>FRESUBIN ORIGINAL, príchuť vanilková</v>
          </cell>
          <cell r="E23" t="str">
            <v>sol 1x500 ml</v>
          </cell>
          <cell r="F23">
            <v>151</v>
          </cell>
          <cell r="G23">
            <v>14979.2</v>
          </cell>
          <cell r="H23">
            <v>0</v>
          </cell>
          <cell r="I23" t="str">
            <v>1q2008</v>
          </cell>
        </row>
        <row r="24">
          <cell r="A24" t="str">
            <v>D0029</v>
          </cell>
          <cell r="B24" t="str">
            <v>DP02A</v>
          </cell>
          <cell r="C24" t="str">
            <v>DP0</v>
          </cell>
          <cell r="D24" t="str">
            <v>FRESUBIN ORIGINAL, príchuť broskyňová</v>
          </cell>
          <cell r="E24" t="str">
            <v>sol 1x500 ml</v>
          </cell>
          <cell r="F24">
            <v>607</v>
          </cell>
          <cell r="G24">
            <v>59899.3</v>
          </cell>
          <cell r="H24">
            <v>0</v>
          </cell>
          <cell r="I24" t="str">
            <v>1q2008</v>
          </cell>
        </row>
        <row r="25">
          <cell r="A25" t="str">
            <v>D0030</v>
          </cell>
          <cell r="B25" t="str">
            <v>DP02A</v>
          </cell>
          <cell r="C25" t="str">
            <v>DP0</v>
          </cell>
          <cell r="D25" t="str">
            <v>FRESUBIN ORIGINAL DRINK, príchuť oriešková</v>
          </cell>
          <cell r="E25" t="str">
            <v>sol 1x200 ml</v>
          </cell>
          <cell r="F25">
            <v>485</v>
          </cell>
          <cell r="G25">
            <v>19245.5</v>
          </cell>
          <cell r="H25">
            <v>0</v>
          </cell>
          <cell r="I25" t="str">
            <v>1q2008</v>
          </cell>
        </row>
        <row r="26">
          <cell r="A26" t="str">
            <v>D0031</v>
          </cell>
          <cell r="B26" t="str">
            <v>DP02A</v>
          </cell>
          <cell r="C26" t="str">
            <v>DP0</v>
          </cell>
          <cell r="D26" t="str">
            <v>FRESUBIN ORIGINAL DRINK, príchuť čokoládová</v>
          </cell>
          <cell r="E26" t="str">
            <v>sol 1x200 ml</v>
          </cell>
          <cell r="F26">
            <v>1241</v>
          </cell>
          <cell r="G26">
            <v>48774.3</v>
          </cell>
          <cell r="H26">
            <v>0</v>
          </cell>
          <cell r="I26" t="str">
            <v>1q2008</v>
          </cell>
        </row>
        <row r="27">
          <cell r="A27" t="str">
            <v>D0032</v>
          </cell>
          <cell r="B27" t="str">
            <v>DP02A</v>
          </cell>
          <cell r="C27" t="str">
            <v>DP0</v>
          </cell>
          <cell r="D27" t="str">
            <v>FRESUBIN ORIGINAL DRINK, príchuť vanilková</v>
          </cell>
          <cell r="E27" t="str">
            <v>sol 1x200 ml</v>
          </cell>
          <cell r="F27">
            <v>582</v>
          </cell>
          <cell r="G27">
            <v>22850.400000000001</v>
          </cell>
          <cell r="H27">
            <v>0</v>
          </cell>
          <cell r="I27" t="str">
            <v>1q2008</v>
          </cell>
        </row>
        <row r="28">
          <cell r="A28" t="str">
            <v>D0033</v>
          </cell>
          <cell r="B28" t="str">
            <v>DP02A</v>
          </cell>
          <cell r="C28" t="str">
            <v>DP0</v>
          </cell>
          <cell r="D28" t="str">
            <v>FRESUBIN ORIGINAL DRINK, príchuť broskyňová</v>
          </cell>
          <cell r="E28" t="str">
            <v>sol 1x200 ml</v>
          </cell>
          <cell r="F28">
            <v>423</v>
          </cell>
          <cell r="G28">
            <v>16793.099999999999</v>
          </cell>
          <cell r="H28">
            <v>0</v>
          </cell>
          <cell r="I28" t="str">
            <v>1q2008</v>
          </cell>
        </row>
        <row r="29">
          <cell r="A29" t="str">
            <v>D0034</v>
          </cell>
          <cell r="B29" t="str">
            <v>DP02A</v>
          </cell>
          <cell r="C29" t="str">
            <v>DP0</v>
          </cell>
          <cell r="D29" t="str">
            <v>FRESUBIN ORIGINAL DRINK, príchuť lesné plody</v>
          </cell>
          <cell r="E29" t="str">
            <v>sol 1x200 ml</v>
          </cell>
          <cell r="F29">
            <v>90</v>
          </cell>
          <cell r="G29">
            <v>3573</v>
          </cell>
          <cell r="H29">
            <v>0</v>
          </cell>
          <cell r="I29" t="str">
            <v>1q2008</v>
          </cell>
        </row>
        <row r="30">
          <cell r="B30" t="str">
            <v>DP02A Celkom</v>
          </cell>
          <cell r="F30">
            <v>5208</v>
          </cell>
          <cell r="G30">
            <v>345413.9</v>
          </cell>
          <cell r="H30">
            <v>0</v>
          </cell>
        </row>
        <row r="31">
          <cell r="A31" t="str">
            <v>D0035</v>
          </cell>
          <cell r="B31" t="str">
            <v>DP02B</v>
          </cell>
          <cell r="C31" t="str">
            <v>DP0</v>
          </cell>
          <cell r="D31" t="str">
            <v>FRESUBIN ORIGINAL FIBRE, príchuť neutrálna</v>
          </cell>
          <cell r="E31" t="str">
            <v>sol 1x500 ml</v>
          </cell>
          <cell r="F31">
            <v>215</v>
          </cell>
          <cell r="G31">
            <v>21256.6</v>
          </cell>
          <cell r="H31">
            <v>6113</v>
          </cell>
          <cell r="I31" t="str">
            <v>1q2008</v>
          </cell>
        </row>
        <row r="32">
          <cell r="B32" t="str">
            <v>DP02B Celkom</v>
          </cell>
          <cell r="F32">
            <v>215</v>
          </cell>
          <cell r="G32">
            <v>21256.6</v>
          </cell>
          <cell r="H32">
            <v>6113</v>
          </cell>
        </row>
        <row r="33">
          <cell r="A33" t="str">
            <v>D0041</v>
          </cell>
          <cell r="B33" t="str">
            <v>DP02F</v>
          </cell>
          <cell r="C33" t="str">
            <v>DP0</v>
          </cell>
          <cell r="D33" t="str">
            <v>DIBEN, príchuť neutrálna</v>
          </cell>
          <cell r="E33" t="str">
            <v>sol 1x500 ml</v>
          </cell>
          <cell r="F33">
            <v>280</v>
          </cell>
          <cell r="G33">
            <v>13319.5</v>
          </cell>
          <cell r="H33">
            <v>0</v>
          </cell>
          <cell r="I33" t="str">
            <v>1q2008</v>
          </cell>
        </row>
        <row r="34">
          <cell r="B34" t="str">
            <v>DP02F Celkom</v>
          </cell>
          <cell r="F34">
            <v>280</v>
          </cell>
          <cell r="G34">
            <v>13319.5</v>
          </cell>
          <cell r="H34">
            <v>0</v>
          </cell>
        </row>
        <row r="35">
          <cell r="A35" t="str">
            <v>D0045</v>
          </cell>
          <cell r="B35" t="str">
            <v>DP02E</v>
          </cell>
          <cell r="C35" t="str">
            <v>DP0</v>
          </cell>
          <cell r="D35" t="str">
            <v>SURVIMED OPD, príchuť neutrálna</v>
          </cell>
          <cell r="E35" t="str">
            <v>sol 1x500 ml</v>
          </cell>
          <cell r="F35">
            <v>37</v>
          </cell>
          <cell r="G35">
            <v>6815.8</v>
          </cell>
          <cell r="H35">
            <v>279.7</v>
          </cell>
          <cell r="I35" t="str">
            <v>1q2008</v>
          </cell>
        </row>
        <row r="36">
          <cell r="B36" t="str">
            <v>DP02E Celkom</v>
          </cell>
          <cell r="F36">
            <v>37</v>
          </cell>
          <cell r="G36">
            <v>6815.8</v>
          </cell>
          <cell r="H36">
            <v>279.7</v>
          </cell>
        </row>
        <row r="37">
          <cell r="A37" t="str">
            <v>D0051</v>
          </cell>
          <cell r="B37" t="str">
            <v>DP02F</v>
          </cell>
          <cell r="C37" t="str">
            <v>DP0</v>
          </cell>
          <cell r="D37" t="str">
            <v>DIBEN DRINK, príchuť karamelová</v>
          </cell>
          <cell r="E37" t="str">
            <v>sol 1x200 ml</v>
          </cell>
          <cell r="F37">
            <v>155</v>
          </cell>
          <cell r="G37">
            <v>9728.5</v>
          </cell>
          <cell r="H37">
            <v>0</v>
          </cell>
          <cell r="I37" t="str">
            <v>1q2008</v>
          </cell>
        </row>
        <row r="38">
          <cell r="A38" t="str">
            <v>D0052</v>
          </cell>
          <cell r="B38" t="str">
            <v>DP02F</v>
          </cell>
          <cell r="C38" t="str">
            <v>DP0</v>
          </cell>
          <cell r="D38" t="str">
            <v>DIBEN DRINK, príchuť kapučíno</v>
          </cell>
          <cell r="E38" t="str">
            <v>sol 1x200 ml</v>
          </cell>
          <cell r="F38">
            <v>1961</v>
          </cell>
          <cell r="G38">
            <v>123192.8</v>
          </cell>
          <cell r="H38">
            <v>0</v>
          </cell>
          <cell r="I38" t="str">
            <v>1q2008</v>
          </cell>
        </row>
        <row r="39">
          <cell r="A39" t="str">
            <v>D0053</v>
          </cell>
          <cell r="B39" t="str">
            <v>DP02F</v>
          </cell>
          <cell r="C39" t="str">
            <v>DP0</v>
          </cell>
          <cell r="D39" t="str">
            <v>DIBEN DRINK, príchuť lesné plody</v>
          </cell>
          <cell r="E39" t="str">
            <v>sol 1x200 ml</v>
          </cell>
          <cell r="F39">
            <v>1171</v>
          </cell>
          <cell r="G39">
            <v>71750.100000000006</v>
          </cell>
          <cell r="H39">
            <v>0</v>
          </cell>
          <cell r="I39" t="str">
            <v>1q2008</v>
          </cell>
        </row>
        <row r="40">
          <cell r="B40" t="str">
            <v>DP02F Celkom</v>
          </cell>
          <cell r="F40">
            <v>3287</v>
          </cell>
          <cell r="G40">
            <v>204671.4</v>
          </cell>
          <cell r="H40">
            <v>0</v>
          </cell>
        </row>
        <row r="41">
          <cell r="A41" t="str">
            <v>D0054</v>
          </cell>
          <cell r="B41" t="str">
            <v>DP02H</v>
          </cell>
          <cell r="C41" t="str">
            <v>DP0</v>
          </cell>
          <cell r="D41" t="str">
            <v>FRESUBIN HEPA,  príchuť mandarínková</v>
          </cell>
          <cell r="E41" t="str">
            <v>sol 1x500 ml</v>
          </cell>
          <cell r="F41">
            <v>31</v>
          </cell>
          <cell r="G41">
            <v>5335.1</v>
          </cell>
          <cell r="H41">
            <v>0</v>
          </cell>
          <cell r="I41" t="str">
            <v>1q2008</v>
          </cell>
        </row>
        <row r="42">
          <cell r="A42" t="str">
            <v>D0055</v>
          </cell>
          <cell r="B42" t="str">
            <v>DP02H</v>
          </cell>
          <cell r="C42" t="str">
            <v>DP0</v>
          </cell>
          <cell r="D42" t="str">
            <v>FRESUBIN HEPA,  príchuť kapučíno</v>
          </cell>
          <cell r="E42" t="str">
            <v>sol 1x500 ml</v>
          </cell>
          <cell r="F42">
            <v>198</v>
          </cell>
          <cell r="G42">
            <v>28467.8</v>
          </cell>
          <cell r="H42">
            <v>0</v>
          </cell>
          <cell r="I42" t="str">
            <v>1q2008</v>
          </cell>
        </row>
        <row r="43">
          <cell r="B43" t="str">
            <v>DP02H Celkom</v>
          </cell>
          <cell r="F43">
            <v>229</v>
          </cell>
          <cell r="G43">
            <v>33802.9</v>
          </cell>
          <cell r="H43">
            <v>0</v>
          </cell>
        </row>
        <row r="44">
          <cell r="A44" t="str">
            <v>D0058</v>
          </cell>
          <cell r="B44" t="str">
            <v>DP03G</v>
          </cell>
          <cell r="C44" t="str">
            <v>DP0</v>
          </cell>
          <cell r="D44" t="str">
            <v>NUTRILON 1 SOYA</v>
          </cell>
          <cell r="E44" t="str">
            <v>plv 1x400 g</v>
          </cell>
          <cell r="F44">
            <v>159</v>
          </cell>
          <cell r="G44">
            <v>5463.3</v>
          </cell>
          <cell r="H44">
            <v>34618.800000000003</v>
          </cell>
          <cell r="I44" t="str">
            <v>1q2008</v>
          </cell>
        </row>
        <row r="45">
          <cell r="B45" t="str">
            <v>DP03G Celkom</v>
          </cell>
          <cell r="F45">
            <v>159</v>
          </cell>
          <cell r="G45">
            <v>5463.3</v>
          </cell>
          <cell r="H45">
            <v>34618.800000000003</v>
          </cell>
        </row>
        <row r="46">
          <cell r="A46" t="str">
            <v>D0059</v>
          </cell>
          <cell r="B46" t="str">
            <v>DP03D</v>
          </cell>
          <cell r="C46" t="str">
            <v>DP0</v>
          </cell>
          <cell r="D46" t="str">
            <v>NUTRILON 1 PEPTI</v>
          </cell>
          <cell r="E46" t="str">
            <v>plv 1x450 g</v>
          </cell>
          <cell r="F46">
            <v>946</v>
          </cell>
          <cell r="G46">
            <v>176940.6</v>
          </cell>
          <cell r="H46">
            <v>128222.2</v>
          </cell>
          <cell r="I46" t="str">
            <v>1q2008</v>
          </cell>
        </row>
        <row r="47">
          <cell r="B47" t="str">
            <v>DP03D Celkom</v>
          </cell>
          <cell r="F47">
            <v>946</v>
          </cell>
          <cell r="G47">
            <v>176940.6</v>
          </cell>
          <cell r="H47">
            <v>128222.2</v>
          </cell>
        </row>
        <row r="48">
          <cell r="A48" t="str">
            <v>D0060</v>
          </cell>
          <cell r="B48" t="str">
            <v>DP03E</v>
          </cell>
          <cell r="C48" t="str">
            <v>DP0</v>
          </cell>
          <cell r="D48" t="str">
            <v>NUTRILON PEPTI MCT</v>
          </cell>
          <cell r="E48" t="str">
            <v>plv 1x450 g</v>
          </cell>
          <cell r="F48">
            <v>420</v>
          </cell>
          <cell r="G48">
            <v>129407.6</v>
          </cell>
          <cell r="H48">
            <v>66116</v>
          </cell>
          <cell r="I48" t="str">
            <v>1q2008</v>
          </cell>
        </row>
        <row r="49">
          <cell r="B49" t="str">
            <v>DP03E Celkom</v>
          </cell>
          <cell r="F49">
            <v>420</v>
          </cell>
          <cell r="G49">
            <v>129407.6</v>
          </cell>
          <cell r="H49">
            <v>66116</v>
          </cell>
        </row>
        <row r="50">
          <cell r="A50" t="str">
            <v>D0061</v>
          </cell>
          <cell r="B50" t="str">
            <v>DP03B</v>
          </cell>
          <cell r="C50" t="str">
            <v>DP0</v>
          </cell>
          <cell r="D50" t="str">
            <v>NUTRILON 1 LOW LACTOSE</v>
          </cell>
          <cell r="E50" t="str">
            <v>plv 1x400 g</v>
          </cell>
          <cell r="F50">
            <v>1765</v>
          </cell>
          <cell r="G50">
            <v>208211.3</v>
          </cell>
          <cell r="H50">
            <v>207670.7</v>
          </cell>
          <cell r="I50" t="str">
            <v>1q2008</v>
          </cell>
        </row>
        <row r="51">
          <cell r="B51" t="str">
            <v>DP03B Celkom</v>
          </cell>
          <cell r="F51">
            <v>1765</v>
          </cell>
          <cell r="G51">
            <v>208211.3</v>
          </cell>
          <cell r="H51">
            <v>207670.7</v>
          </cell>
        </row>
        <row r="52">
          <cell r="A52" t="str">
            <v>D0062</v>
          </cell>
          <cell r="B52" t="str">
            <v>DP03H</v>
          </cell>
          <cell r="C52" t="str">
            <v>DP0</v>
          </cell>
          <cell r="D52" t="str">
            <v>NUTRILON NENATAL LCP</v>
          </cell>
          <cell r="E52" t="str">
            <v>plv 1x400 g</v>
          </cell>
          <cell r="F52">
            <v>17</v>
          </cell>
          <cell r="G52">
            <v>3786.6</v>
          </cell>
          <cell r="H52">
            <v>2761.1</v>
          </cell>
          <cell r="I52" t="str">
            <v>1q2008</v>
          </cell>
        </row>
        <row r="53">
          <cell r="B53" t="str">
            <v>DP03H Celkom</v>
          </cell>
          <cell r="F53">
            <v>17</v>
          </cell>
          <cell r="G53">
            <v>3786.6</v>
          </cell>
          <cell r="H53">
            <v>2761.1</v>
          </cell>
        </row>
        <row r="54">
          <cell r="A54" t="str">
            <v>D0065</v>
          </cell>
          <cell r="B54" t="str">
            <v>DP03C</v>
          </cell>
          <cell r="C54" t="str">
            <v>DP0</v>
          </cell>
          <cell r="D54" t="str">
            <v>NUTRILON 1 A.R.</v>
          </cell>
          <cell r="E54" t="str">
            <v>plv 1x400 g</v>
          </cell>
          <cell r="F54">
            <v>5826</v>
          </cell>
          <cell r="G54">
            <v>692307.6</v>
          </cell>
          <cell r="H54">
            <v>665331.5</v>
          </cell>
          <cell r="I54" t="str">
            <v>1q2008</v>
          </cell>
        </row>
        <row r="55">
          <cell r="A55" t="str">
            <v>D0066</v>
          </cell>
          <cell r="B55" t="str">
            <v>DP03C</v>
          </cell>
          <cell r="C55" t="str">
            <v>DP0</v>
          </cell>
          <cell r="D55" t="str">
            <v>NUTRILON 2 A.R.</v>
          </cell>
          <cell r="E55" t="str">
            <v>plv 1x400 g</v>
          </cell>
          <cell r="F55">
            <v>10178</v>
          </cell>
          <cell r="G55">
            <v>1144285.1499999999</v>
          </cell>
          <cell r="H55">
            <v>1246833.7</v>
          </cell>
          <cell r="I55" t="str">
            <v>1q2008</v>
          </cell>
        </row>
        <row r="56">
          <cell r="B56" t="str">
            <v>DP03C Celkom</v>
          </cell>
          <cell r="F56">
            <v>16004</v>
          </cell>
          <cell r="G56">
            <v>1836592.75</v>
          </cell>
          <cell r="H56">
            <v>1912165.2</v>
          </cell>
        </row>
        <row r="57">
          <cell r="A57" t="str">
            <v>D0069</v>
          </cell>
          <cell r="B57" t="str">
            <v>DP02A</v>
          </cell>
          <cell r="C57" t="str">
            <v>DP0</v>
          </cell>
          <cell r="D57" t="str">
            <v>NUTRINI</v>
          </cell>
          <cell r="E57" t="str">
            <v>sol 1x200 ml</v>
          </cell>
          <cell r="F57">
            <v>2595</v>
          </cell>
          <cell r="G57">
            <v>110364.2</v>
          </cell>
          <cell r="H57">
            <v>38499.699999999997</v>
          </cell>
          <cell r="I57" t="str">
            <v>1q2008</v>
          </cell>
        </row>
        <row r="58">
          <cell r="B58" t="str">
            <v>DP02A Celkom</v>
          </cell>
          <cell r="F58">
            <v>2595</v>
          </cell>
          <cell r="G58">
            <v>110364.2</v>
          </cell>
          <cell r="H58">
            <v>38499.699999999997</v>
          </cell>
        </row>
        <row r="59">
          <cell r="A59" t="str">
            <v>D0070</v>
          </cell>
          <cell r="B59" t="str">
            <v>DP02E</v>
          </cell>
          <cell r="C59" t="str">
            <v>DP0</v>
          </cell>
          <cell r="D59" t="str">
            <v>PEPTISORB POWDER</v>
          </cell>
          <cell r="E59" t="str">
            <v>plv 1x500 g</v>
          </cell>
          <cell r="F59">
            <v>410</v>
          </cell>
          <cell r="G59">
            <v>260145</v>
          </cell>
          <cell r="H59">
            <v>0</v>
          </cell>
          <cell r="I59" t="str">
            <v>1q2008</v>
          </cell>
        </row>
        <row r="60">
          <cell r="B60" t="str">
            <v>DP02E Celkom</v>
          </cell>
          <cell r="F60">
            <v>410</v>
          </cell>
          <cell r="G60">
            <v>260145</v>
          </cell>
          <cell r="H60">
            <v>0</v>
          </cell>
        </row>
        <row r="61">
          <cell r="A61" t="str">
            <v>D0071</v>
          </cell>
          <cell r="B61" t="str">
            <v>DP02A</v>
          </cell>
          <cell r="C61" t="str">
            <v>DP0</v>
          </cell>
          <cell r="D61" t="str">
            <v>NUTRISON STANDARD</v>
          </cell>
          <cell r="E61" t="str">
            <v>sol 1x500 ml</v>
          </cell>
          <cell r="F61">
            <v>3060</v>
          </cell>
          <cell r="G61">
            <v>268571.5</v>
          </cell>
          <cell r="H61">
            <v>77288.7</v>
          </cell>
          <cell r="I61" t="str">
            <v>1q2008</v>
          </cell>
        </row>
        <row r="62">
          <cell r="A62" t="str">
            <v>D0072</v>
          </cell>
          <cell r="B62" t="str">
            <v>DP02A</v>
          </cell>
          <cell r="C62" t="str">
            <v>DP0</v>
          </cell>
          <cell r="D62" t="str">
            <v>NUTRISON POWDER</v>
          </cell>
          <cell r="E62" t="str">
            <v>plv 1x430 g</v>
          </cell>
          <cell r="F62">
            <v>1908</v>
          </cell>
          <cell r="G62">
            <v>397096</v>
          </cell>
          <cell r="H62">
            <v>71730.100000000006</v>
          </cell>
          <cell r="I62" t="str">
            <v>1q2008</v>
          </cell>
        </row>
        <row r="63">
          <cell r="B63" t="str">
            <v>DP02A Celkom</v>
          </cell>
          <cell r="F63">
            <v>4968</v>
          </cell>
          <cell r="G63">
            <v>665667.5</v>
          </cell>
          <cell r="H63">
            <v>149018.79999999999</v>
          </cell>
        </row>
        <row r="64">
          <cell r="A64" t="str">
            <v>D0073</v>
          </cell>
          <cell r="B64" t="str">
            <v>DP02D</v>
          </cell>
          <cell r="C64" t="str">
            <v>DP0</v>
          </cell>
          <cell r="D64" t="str">
            <v>NUTRIDRINK MULTIFIBRE, príchuť pomarančová</v>
          </cell>
          <cell r="E64" t="str">
            <v>sol 1x200 ml</v>
          </cell>
          <cell r="F64">
            <v>50457</v>
          </cell>
          <cell r="G64">
            <v>2655144.1</v>
          </cell>
          <cell r="H64">
            <v>0</v>
          </cell>
          <cell r="I64" t="str">
            <v>1q2008</v>
          </cell>
        </row>
        <row r="65">
          <cell r="A65" t="str">
            <v>D0074</v>
          </cell>
          <cell r="B65" t="str">
            <v>DP02D</v>
          </cell>
          <cell r="C65" t="str">
            <v>DP0</v>
          </cell>
          <cell r="D65" t="str">
            <v>NUTRIDRINK MULTIFIBRE, príchuť vanilková</v>
          </cell>
          <cell r="E65" t="str">
            <v>sol 1x200 ml</v>
          </cell>
          <cell r="F65">
            <v>59530</v>
          </cell>
          <cell r="G65">
            <v>3132789.5</v>
          </cell>
          <cell r="H65">
            <v>106</v>
          </cell>
          <cell r="I65" t="str">
            <v>1q2008</v>
          </cell>
        </row>
        <row r="66">
          <cell r="A66" t="str">
            <v>D0075</v>
          </cell>
          <cell r="B66" t="str">
            <v>DP02D</v>
          </cell>
          <cell r="C66" t="str">
            <v>DP0</v>
          </cell>
          <cell r="D66" t="str">
            <v>NUTRIDRINK MULTIFIBRE, príchuť jahodová</v>
          </cell>
          <cell r="E66" t="str">
            <v>sol 1x200 ml</v>
          </cell>
          <cell r="F66">
            <v>84036</v>
          </cell>
          <cell r="G66">
            <v>4420137.7</v>
          </cell>
          <cell r="H66">
            <v>240</v>
          </cell>
          <cell r="I66" t="str">
            <v>1q2008</v>
          </cell>
        </row>
        <row r="67">
          <cell r="B67" t="str">
            <v>DP02D Celkom</v>
          </cell>
          <cell r="F67">
            <v>194023</v>
          </cell>
          <cell r="G67">
            <v>10208071.300000001</v>
          </cell>
          <cell r="H67">
            <v>346</v>
          </cell>
        </row>
        <row r="68">
          <cell r="A68" t="str">
            <v>D0076</v>
          </cell>
          <cell r="B68" t="str">
            <v>DP02E</v>
          </cell>
          <cell r="C68" t="str">
            <v>DP0</v>
          </cell>
          <cell r="D68" t="str">
            <v>PEPTISORB</v>
          </cell>
          <cell r="E68" t="str">
            <v>sol 1x500 ml</v>
          </cell>
          <cell r="F68">
            <v>54</v>
          </cell>
          <cell r="G68">
            <v>8275.4</v>
          </cell>
          <cell r="H68">
            <v>5687.9</v>
          </cell>
          <cell r="I68" t="str">
            <v>1q2008</v>
          </cell>
        </row>
        <row r="69">
          <cell r="B69" t="str">
            <v>DP02E Celkom</v>
          </cell>
          <cell r="F69">
            <v>54</v>
          </cell>
          <cell r="G69">
            <v>8275.4</v>
          </cell>
          <cell r="H69">
            <v>5687.9</v>
          </cell>
        </row>
        <row r="70">
          <cell r="A70" t="str">
            <v>D0077</v>
          </cell>
          <cell r="B70" t="str">
            <v>DP02C</v>
          </cell>
          <cell r="C70" t="str">
            <v>DP0</v>
          </cell>
          <cell r="D70" t="str">
            <v>NUTRIDRINK, čokoládová príchuť</v>
          </cell>
          <cell r="E70" t="str">
            <v>sol 1x200 ml</v>
          </cell>
          <cell r="F70">
            <v>201244</v>
          </cell>
          <cell r="G70">
            <v>10524799.4</v>
          </cell>
          <cell r="H70">
            <v>527</v>
          </cell>
          <cell r="I70" t="str">
            <v>1q2008</v>
          </cell>
        </row>
        <row r="71">
          <cell r="A71" t="str">
            <v>D0078</v>
          </cell>
          <cell r="B71" t="str">
            <v>DP02C</v>
          </cell>
          <cell r="C71" t="str">
            <v>DP0</v>
          </cell>
          <cell r="D71" t="str">
            <v>NUTRIDRINK, neutrálna chuť</v>
          </cell>
          <cell r="E71" t="str">
            <v>sol 1x200 ml</v>
          </cell>
          <cell r="F71">
            <v>34513</v>
          </cell>
          <cell r="G71">
            <v>1807021.1</v>
          </cell>
          <cell r="H71">
            <v>6</v>
          </cell>
          <cell r="I71" t="str">
            <v>1q2008</v>
          </cell>
        </row>
        <row r="72">
          <cell r="A72" t="str">
            <v>D0079</v>
          </cell>
          <cell r="B72" t="str">
            <v>DP02C</v>
          </cell>
          <cell r="C72" t="str">
            <v>DP0</v>
          </cell>
          <cell r="D72" t="str">
            <v>NUTRIDRINK, karamelová príchuť</v>
          </cell>
          <cell r="E72" t="str">
            <v>sol 1x200 ml</v>
          </cell>
          <cell r="F72">
            <v>38846</v>
          </cell>
          <cell r="G72">
            <v>2034812.3</v>
          </cell>
          <cell r="H72">
            <v>0</v>
          </cell>
          <cell r="I72" t="str">
            <v>1q2008</v>
          </cell>
        </row>
        <row r="73">
          <cell r="A73" t="str">
            <v>D0080</v>
          </cell>
          <cell r="B73" t="str">
            <v>DP02C</v>
          </cell>
          <cell r="C73" t="str">
            <v>DP0</v>
          </cell>
          <cell r="D73" t="str">
            <v>NUTRIDRINK, príchuť tropického ovocia</v>
          </cell>
          <cell r="E73" t="str">
            <v>sol 1x200 ml</v>
          </cell>
          <cell r="F73">
            <v>40854</v>
          </cell>
          <cell r="G73">
            <v>2142390.4</v>
          </cell>
          <cell r="H73">
            <v>0</v>
          </cell>
          <cell r="I73" t="str">
            <v>1q2008</v>
          </cell>
        </row>
        <row r="74">
          <cell r="B74" t="str">
            <v>DP02C Celkom</v>
          </cell>
          <cell r="F74">
            <v>315457</v>
          </cell>
          <cell r="G74">
            <v>16509023.200000001</v>
          </cell>
          <cell r="H74">
            <v>533</v>
          </cell>
        </row>
        <row r="75">
          <cell r="A75" t="str">
            <v>D0081</v>
          </cell>
          <cell r="B75" t="str">
            <v>DP01A</v>
          </cell>
          <cell r="C75" t="str">
            <v>DP0</v>
          </cell>
          <cell r="D75" t="str">
            <v>MILUPA PKU 2</v>
          </cell>
          <cell r="E75" t="str">
            <v>plv 1x500 g</v>
          </cell>
          <cell r="F75">
            <v>6</v>
          </cell>
          <cell r="G75">
            <v>30844.2</v>
          </cell>
          <cell r="H75">
            <v>0</v>
          </cell>
          <cell r="I75" t="str">
            <v>1q2008</v>
          </cell>
        </row>
        <row r="76">
          <cell r="A76" t="str">
            <v>D0082</v>
          </cell>
          <cell r="B76" t="str">
            <v>DP01A</v>
          </cell>
          <cell r="C76" t="str">
            <v>DP0</v>
          </cell>
          <cell r="D76" t="str">
            <v>MILUPA PKU 3</v>
          </cell>
          <cell r="E76" t="str">
            <v>plv 1x500 g</v>
          </cell>
          <cell r="F76">
            <v>18</v>
          </cell>
          <cell r="G76">
            <v>108788.4</v>
          </cell>
          <cell r="H76">
            <v>0</v>
          </cell>
          <cell r="I76" t="str">
            <v>1q2008</v>
          </cell>
        </row>
        <row r="77">
          <cell r="A77" t="str">
            <v>D0083</v>
          </cell>
          <cell r="B77" t="str">
            <v>DP01A</v>
          </cell>
          <cell r="C77" t="str">
            <v>DP0</v>
          </cell>
          <cell r="D77" t="str">
            <v>MILUPA PKU 2 SHAKE ČOKOLÁDA</v>
          </cell>
          <cell r="E77" t="str">
            <v>plv 1x30 g</v>
          </cell>
          <cell r="F77">
            <v>30</v>
          </cell>
          <cell r="G77">
            <v>8088</v>
          </cell>
          <cell r="H77">
            <v>930</v>
          </cell>
          <cell r="I77" t="str">
            <v>1q2008</v>
          </cell>
        </row>
        <row r="78">
          <cell r="A78" t="str">
            <v>D0084</v>
          </cell>
          <cell r="B78" t="str">
            <v>DP01A</v>
          </cell>
          <cell r="C78" t="str">
            <v>DP0</v>
          </cell>
          <cell r="D78" t="str">
            <v>MILUPA PKU 2 SHAKE JAHODA-VANILKA</v>
          </cell>
          <cell r="E78" t="str">
            <v>plv 1x30 g</v>
          </cell>
          <cell r="F78">
            <v>10</v>
          </cell>
          <cell r="G78">
            <v>2696</v>
          </cell>
          <cell r="H78">
            <v>310</v>
          </cell>
          <cell r="I78" t="str">
            <v>1q2008</v>
          </cell>
        </row>
        <row r="79">
          <cell r="B79" t="str">
            <v>DP01A Celkom</v>
          </cell>
          <cell r="F79">
            <v>64</v>
          </cell>
          <cell r="G79">
            <v>150416.6</v>
          </cell>
          <cell r="H79">
            <v>1240</v>
          </cell>
        </row>
        <row r="80">
          <cell r="A80" t="str">
            <v>D0086</v>
          </cell>
          <cell r="B80" t="str">
            <v>DP01D</v>
          </cell>
          <cell r="C80" t="str">
            <v>DP0</v>
          </cell>
          <cell r="D80" t="str">
            <v>MILUPA HOM 2</v>
          </cell>
          <cell r="E80" t="str">
            <v>plv 1x500 g</v>
          </cell>
          <cell r="F80">
            <v>18</v>
          </cell>
          <cell r="G80">
            <v>138094.20000000001</v>
          </cell>
          <cell r="H80">
            <v>0</v>
          </cell>
          <cell r="I80" t="str">
            <v>1q2008</v>
          </cell>
        </row>
        <row r="81">
          <cell r="B81" t="str">
            <v>DP01D Celkom</v>
          </cell>
          <cell r="F81">
            <v>18</v>
          </cell>
          <cell r="G81">
            <v>138094.20000000001</v>
          </cell>
          <cell r="H81">
            <v>0</v>
          </cell>
        </row>
        <row r="82">
          <cell r="A82" t="str">
            <v>D0088</v>
          </cell>
          <cell r="B82" t="str">
            <v>DP01A</v>
          </cell>
          <cell r="C82" t="str">
            <v>DP0</v>
          </cell>
          <cell r="D82" t="str">
            <v>P-AM 2</v>
          </cell>
          <cell r="E82" t="str">
            <v>plv 1x500 g</v>
          </cell>
          <cell r="F82">
            <v>155</v>
          </cell>
          <cell r="G82">
            <v>1091639.7</v>
          </cell>
          <cell r="H82">
            <v>0</v>
          </cell>
          <cell r="I82" t="str">
            <v>1q2008</v>
          </cell>
        </row>
        <row r="83">
          <cell r="A83" t="str">
            <v>D0089</v>
          </cell>
          <cell r="B83" t="str">
            <v>DP01A</v>
          </cell>
          <cell r="C83" t="str">
            <v>DP0</v>
          </cell>
          <cell r="D83" t="str">
            <v>P-AM 3</v>
          </cell>
          <cell r="E83" t="str">
            <v>plv 1x500 g</v>
          </cell>
          <cell r="F83">
            <v>369</v>
          </cell>
          <cell r="G83">
            <v>2831190.9</v>
          </cell>
          <cell r="H83">
            <v>0</v>
          </cell>
          <cell r="I83" t="str">
            <v>1q2008</v>
          </cell>
        </row>
        <row r="84">
          <cell r="A84" t="str">
            <v>D0090</v>
          </cell>
          <cell r="B84" t="str">
            <v>DP01A</v>
          </cell>
          <cell r="C84" t="str">
            <v>DP0</v>
          </cell>
          <cell r="D84" t="str">
            <v>P-AM UNIVERSAL</v>
          </cell>
          <cell r="E84" t="str">
            <v>plv 1x500 g</v>
          </cell>
          <cell r="F84">
            <v>5</v>
          </cell>
          <cell r="G84">
            <v>22581.5</v>
          </cell>
          <cell r="H84">
            <v>0</v>
          </cell>
          <cell r="I84" t="str">
            <v>1q2008</v>
          </cell>
        </row>
        <row r="85">
          <cell r="B85" t="str">
            <v>DP01A Celkom</v>
          </cell>
          <cell r="F85">
            <v>529</v>
          </cell>
          <cell r="G85">
            <v>3945412.0999999996</v>
          </cell>
          <cell r="H85">
            <v>0</v>
          </cell>
        </row>
        <row r="86">
          <cell r="A86" t="str">
            <v>D0092</v>
          </cell>
          <cell r="B86" t="str">
            <v>DP01B</v>
          </cell>
          <cell r="C86" t="str">
            <v>DP0</v>
          </cell>
          <cell r="D86" t="str">
            <v>PT-AM 2</v>
          </cell>
          <cell r="E86" t="str">
            <v>plv 1x400 g</v>
          </cell>
          <cell r="F86">
            <v>6</v>
          </cell>
          <cell r="G86">
            <v>43739.4</v>
          </cell>
          <cell r="H86">
            <v>0</v>
          </cell>
          <cell r="I86" t="str">
            <v>1q2008</v>
          </cell>
        </row>
        <row r="87">
          <cell r="B87" t="str">
            <v>DP01B Celkom</v>
          </cell>
          <cell r="F87">
            <v>6</v>
          </cell>
          <cell r="G87">
            <v>43739.4</v>
          </cell>
          <cell r="H87">
            <v>0</v>
          </cell>
        </row>
        <row r="88">
          <cell r="A88" t="str">
            <v>D0095</v>
          </cell>
          <cell r="B88" t="str">
            <v>DP01E</v>
          </cell>
          <cell r="C88" t="str">
            <v>DP0</v>
          </cell>
          <cell r="D88" t="str">
            <v>LT-AM 2</v>
          </cell>
          <cell r="E88" t="str">
            <v>plv 1x400 g</v>
          </cell>
          <cell r="F88">
            <v>6</v>
          </cell>
          <cell r="G88">
            <v>47020</v>
          </cell>
          <cell r="H88">
            <v>0</v>
          </cell>
          <cell r="I88" t="str">
            <v>1q2008</v>
          </cell>
        </row>
        <row r="89">
          <cell r="B89" t="str">
            <v>DP01E Celkom</v>
          </cell>
          <cell r="F89">
            <v>6</v>
          </cell>
          <cell r="G89">
            <v>47020</v>
          </cell>
          <cell r="H89">
            <v>0</v>
          </cell>
        </row>
        <row r="90">
          <cell r="A90" t="str">
            <v>D0097</v>
          </cell>
          <cell r="B90" t="str">
            <v>DP01H</v>
          </cell>
          <cell r="C90" t="str">
            <v>DP0</v>
          </cell>
          <cell r="D90" t="str">
            <v>E-AM 2</v>
          </cell>
          <cell r="E90" t="str">
            <v>plv 1x400 g</v>
          </cell>
          <cell r="F90">
            <v>9</v>
          </cell>
          <cell r="G90">
            <v>70422.399999999994</v>
          </cell>
          <cell r="H90">
            <v>0</v>
          </cell>
          <cell r="I90" t="str">
            <v>1q2008</v>
          </cell>
        </row>
        <row r="91">
          <cell r="A91" t="str">
            <v>D0098</v>
          </cell>
          <cell r="B91" t="str">
            <v>DP01H</v>
          </cell>
          <cell r="C91" t="str">
            <v>DP0</v>
          </cell>
          <cell r="D91" t="str">
            <v>E-AM 3</v>
          </cell>
          <cell r="E91" t="str">
            <v>plv 1x400 g</v>
          </cell>
          <cell r="F91">
            <v>21</v>
          </cell>
          <cell r="G91">
            <v>177601.2</v>
          </cell>
          <cell r="H91">
            <v>0</v>
          </cell>
          <cell r="I91" t="str">
            <v>1q2008</v>
          </cell>
        </row>
        <row r="92">
          <cell r="B92" t="str">
            <v>DP01H Celkom</v>
          </cell>
          <cell r="F92">
            <v>30</v>
          </cell>
          <cell r="G92">
            <v>248023.6</v>
          </cell>
          <cell r="H92">
            <v>0</v>
          </cell>
        </row>
        <row r="93">
          <cell r="A93" t="str">
            <v>D0102</v>
          </cell>
          <cell r="B93" t="str">
            <v>DP01G</v>
          </cell>
          <cell r="C93" t="str">
            <v>DP0</v>
          </cell>
          <cell r="D93" t="str">
            <v>IMTV-AM 2</v>
          </cell>
          <cell r="E93" t="str">
            <v>plv 1x400 g</v>
          </cell>
          <cell r="F93">
            <v>7</v>
          </cell>
          <cell r="G93">
            <v>50138.2</v>
          </cell>
          <cell r="H93">
            <v>0</v>
          </cell>
          <cell r="I93" t="str">
            <v>1q2008</v>
          </cell>
        </row>
        <row r="94">
          <cell r="A94" t="str">
            <v>D0103</v>
          </cell>
          <cell r="B94" t="str">
            <v>DP01G</v>
          </cell>
          <cell r="C94" t="str">
            <v>DP0</v>
          </cell>
          <cell r="D94" t="str">
            <v>IMTV-AM 3</v>
          </cell>
          <cell r="E94" t="str">
            <v>plv 1x400 g</v>
          </cell>
          <cell r="F94">
            <v>17</v>
          </cell>
          <cell r="G94">
            <v>121764.2</v>
          </cell>
          <cell r="H94">
            <v>0</v>
          </cell>
          <cell r="I94" t="str">
            <v>1q2008</v>
          </cell>
        </row>
        <row r="95">
          <cell r="B95" t="str">
            <v>DP01G Celkom</v>
          </cell>
          <cell r="F95">
            <v>24</v>
          </cell>
          <cell r="G95">
            <v>171902.4</v>
          </cell>
          <cell r="H95">
            <v>0</v>
          </cell>
        </row>
        <row r="96">
          <cell r="A96" t="str">
            <v>D0106</v>
          </cell>
          <cell r="B96" t="str">
            <v>DP01D</v>
          </cell>
          <cell r="C96" t="str">
            <v>DP0</v>
          </cell>
          <cell r="D96" t="str">
            <v>M-AM 3</v>
          </cell>
          <cell r="E96" t="str">
            <v>plv 1x400 g</v>
          </cell>
          <cell r="F96">
            <v>120</v>
          </cell>
          <cell r="G96">
            <v>859510</v>
          </cell>
          <cell r="H96">
            <v>0</v>
          </cell>
          <cell r="I96" t="str">
            <v>1q2008</v>
          </cell>
        </row>
        <row r="97">
          <cell r="B97" t="str">
            <v>DP01D Celkom</v>
          </cell>
          <cell r="F97">
            <v>120</v>
          </cell>
          <cell r="G97">
            <v>859510</v>
          </cell>
          <cell r="H97">
            <v>0</v>
          </cell>
        </row>
        <row r="98">
          <cell r="A98" t="str">
            <v>D0108</v>
          </cell>
          <cell r="B98" t="str">
            <v>DP01C</v>
          </cell>
          <cell r="C98" t="str">
            <v>DP0</v>
          </cell>
          <cell r="D98" t="str">
            <v>ILV-AM 2</v>
          </cell>
          <cell r="E98" t="str">
            <v>plv 1x400 g</v>
          </cell>
          <cell r="F98">
            <v>10</v>
          </cell>
          <cell r="G98">
            <v>71626</v>
          </cell>
          <cell r="H98">
            <v>0</v>
          </cell>
          <cell r="I98" t="str">
            <v>1q2008</v>
          </cell>
        </row>
        <row r="99">
          <cell r="B99" t="str">
            <v>DP01C Celkom</v>
          </cell>
          <cell r="F99">
            <v>10</v>
          </cell>
          <cell r="G99">
            <v>71626</v>
          </cell>
          <cell r="H99">
            <v>0</v>
          </cell>
        </row>
        <row r="100">
          <cell r="A100" t="str">
            <v>D0112</v>
          </cell>
          <cell r="B100" t="str">
            <v>DP03A</v>
          </cell>
          <cell r="C100" t="str">
            <v>DP0</v>
          </cell>
          <cell r="D100" t="str">
            <v>BEBA H.A. 2 BIFIDUS</v>
          </cell>
          <cell r="E100" t="str">
            <v>plv 1x750 g</v>
          </cell>
          <cell r="F100">
            <v>153</v>
          </cell>
          <cell r="G100">
            <v>33373.1</v>
          </cell>
          <cell r="H100">
            <v>38956.5</v>
          </cell>
          <cell r="I100" t="str">
            <v>1q2008</v>
          </cell>
        </row>
        <row r="101">
          <cell r="B101" t="str">
            <v>DP03A Celkom</v>
          </cell>
          <cell r="F101">
            <v>153</v>
          </cell>
          <cell r="G101">
            <v>33373.1</v>
          </cell>
          <cell r="H101">
            <v>38956.5</v>
          </cell>
        </row>
        <row r="102">
          <cell r="A102" t="str">
            <v>D0113</v>
          </cell>
          <cell r="B102" t="str">
            <v>DP03C</v>
          </cell>
          <cell r="C102" t="str">
            <v>DP0</v>
          </cell>
          <cell r="D102" t="str">
            <v>BEBA 1 A.R.</v>
          </cell>
          <cell r="E102" t="str">
            <v>plv 1x750 g</v>
          </cell>
          <cell r="F102">
            <v>1986</v>
          </cell>
          <cell r="G102">
            <v>391749.3</v>
          </cell>
          <cell r="H102">
            <v>482993.69</v>
          </cell>
          <cell r="I102" t="str">
            <v>1q2008</v>
          </cell>
        </row>
        <row r="103">
          <cell r="B103" t="str">
            <v>DP03C Celkom</v>
          </cell>
          <cell r="F103">
            <v>1986</v>
          </cell>
          <cell r="G103">
            <v>391749.3</v>
          </cell>
          <cell r="H103">
            <v>482993.69</v>
          </cell>
        </row>
        <row r="104">
          <cell r="A104" t="str">
            <v>D0114</v>
          </cell>
          <cell r="B104" t="str">
            <v>DP03A</v>
          </cell>
          <cell r="C104" t="str">
            <v>DP0</v>
          </cell>
          <cell r="D104" t="str">
            <v>BEBA 2 HA Premium</v>
          </cell>
          <cell r="E104" t="str">
            <v>plv 1x750 g</v>
          </cell>
          <cell r="F104">
            <v>8208</v>
          </cell>
          <cell r="G104">
            <v>1866128.3</v>
          </cell>
          <cell r="H104">
            <v>2303410.35</v>
          </cell>
          <cell r="I104" t="str">
            <v>1q2008</v>
          </cell>
        </row>
        <row r="105">
          <cell r="A105" t="str">
            <v>D0117</v>
          </cell>
          <cell r="B105" t="str">
            <v>DP03A</v>
          </cell>
          <cell r="C105" t="str">
            <v>DP0</v>
          </cell>
          <cell r="D105" t="str">
            <v>BEBA 1 HA Premium</v>
          </cell>
          <cell r="E105" t="str">
            <v>plv 1x750 g</v>
          </cell>
          <cell r="F105">
            <v>6435.5</v>
          </cell>
          <cell r="G105">
            <v>1633344.8</v>
          </cell>
          <cell r="H105">
            <v>1651490</v>
          </cell>
          <cell r="I105" t="str">
            <v>1q2008</v>
          </cell>
        </row>
        <row r="106">
          <cell r="B106" t="str">
            <v>DP03A Celkom</v>
          </cell>
          <cell r="F106">
            <v>14643.5</v>
          </cell>
          <cell r="G106">
            <v>3499473.1</v>
          </cell>
          <cell r="H106">
            <v>3954900.35</v>
          </cell>
        </row>
        <row r="107">
          <cell r="A107" t="str">
            <v>D0118</v>
          </cell>
          <cell r="B107" t="str">
            <v>DP03H</v>
          </cell>
          <cell r="C107" t="str">
            <v>DP0</v>
          </cell>
          <cell r="D107" t="str">
            <v>ALPREM</v>
          </cell>
          <cell r="E107" t="str">
            <v>plv 1x400 g</v>
          </cell>
          <cell r="F107">
            <v>9</v>
          </cell>
          <cell r="G107">
            <v>2474</v>
          </cell>
          <cell r="H107">
            <v>226.1</v>
          </cell>
          <cell r="I107" t="str">
            <v>1q2008</v>
          </cell>
        </row>
        <row r="108">
          <cell r="B108" t="str">
            <v>DP03H Celkom</v>
          </cell>
          <cell r="F108">
            <v>9</v>
          </cell>
          <cell r="G108">
            <v>2474</v>
          </cell>
          <cell r="H108">
            <v>226.1</v>
          </cell>
        </row>
        <row r="109">
          <cell r="A109" t="str">
            <v>D0119</v>
          </cell>
          <cell r="B109" t="str">
            <v>DP03B</v>
          </cell>
          <cell r="C109" t="str">
            <v>DP0</v>
          </cell>
          <cell r="D109" t="str">
            <v>AL110</v>
          </cell>
          <cell r="E109" t="str">
            <v>plv 1x400 g</v>
          </cell>
          <cell r="F109">
            <v>1336</v>
          </cell>
          <cell r="G109">
            <v>166541</v>
          </cell>
          <cell r="H109">
            <v>155663.20000000001</v>
          </cell>
          <cell r="I109" t="str">
            <v>1q2008</v>
          </cell>
        </row>
        <row r="110">
          <cell r="B110" t="str">
            <v>DP03B Celkom</v>
          </cell>
          <cell r="F110">
            <v>1336</v>
          </cell>
          <cell r="G110">
            <v>166541</v>
          </cell>
          <cell r="H110">
            <v>155663.20000000001</v>
          </cell>
        </row>
        <row r="111">
          <cell r="A111" t="str">
            <v>D0120</v>
          </cell>
          <cell r="B111" t="str">
            <v>DP03E</v>
          </cell>
          <cell r="C111" t="str">
            <v>DP0</v>
          </cell>
          <cell r="D111" t="str">
            <v>ALFARE</v>
          </cell>
          <cell r="E111" t="str">
            <v>plv 1x400 g</v>
          </cell>
          <cell r="F111">
            <v>372</v>
          </cell>
          <cell r="G111">
            <v>113834.1</v>
          </cell>
          <cell r="H111">
            <v>64509.7</v>
          </cell>
          <cell r="I111" t="str">
            <v>1q2008</v>
          </cell>
        </row>
        <row r="112">
          <cell r="B112" t="str">
            <v>DP03E Celkom</v>
          </cell>
          <cell r="F112">
            <v>372</v>
          </cell>
          <cell r="G112">
            <v>113834.1</v>
          </cell>
          <cell r="H112">
            <v>64509.7</v>
          </cell>
        </row>
        <row r="113">
          <cell r="A113" t="str">
            <v>D0121</v>
          </cell>
          <cell r="B113" t="str">
            <v>DP03A</v>
          </cell>
          <cell r="C113" t="str">
            <v>DP0</v>
          </cell>
          <cell r="D113" t="str">
            <v>NUTRILON HA 1 HYPOALERGÉNNY</v>
          </cell>
          <cell r="E113" t="str">
            <v>plv 1x400 g</v>
          </cell>
          <cell r="F113">
            <v>12932</v>
          </cell>
          <cell r="G113">
            <v>2300718.54</v>
          </cell>
          <cell r="H113">
            <v>1691922.4</v>
          </cell>
          <cell r="I113" t="str">
            <v>1q2008</v>
          </cell>
        </row>
        <row r="114">
          <cell r="A114" t="str">
            <v>D0122</v>
          </cell>
          <cell r="B114" t="str">
            <v>DP03A</v>
          </cell>
          <cell r="C114" t="str">
            <v>DP0</v>
          </cell>
          <cell r="D114" t="str">
            <v>NUTRILON HA 2 HYPOALERGÉNNY</v>
          </cell>
          <cell r="E114" t="str">
            <v>plv 1x400 g</v>
          </cell>
          <cell r="F114">
            <v>17821</v>
          </cell>
          <cell r="G114">
            <v>3230462.3</v>
          </cell>
          <cell r="H114">
            <v>2151862.5</v>
          </cell>
          <cell r="I114" t="str">
            <v>1q2008</v>
          </cell>
        </row>
        <row r="115">
          <cell r="B115" t="str">
            <v>DP03A Celkom</v>
          </cell>
          <cell r="F115">
            <v>30753</v>
          </cell>
          <cell r="G115">
            <v>5531180.8399999999</v>
          </cell>
          <cell r="H115">
            <v>3843784.9</v>
          </cell>
        </row>
        <row r="116">
          <cell r="A116" t="str">
            <v>D0126</v>
          </cell>
          <cell r="B116" t="str">
            <v>DP02C</v>
          </cell>
          <cell r="C116" t="str">
            <v>DP0</v>
          </cell>
          <cell r="D116" t="str">
            <v>NUTRIDRINK YOGHURT, s príchuťou vanilka a citrón</v>
          </cell>
          <cell r="E116" t="str">
            <v>sol 1x200 ml</v>
          </cell>
          <cell r="F116">
            <v>3532</v>
          </cell>
          <cell r="G116">
            <v>183294.8</v>
          </cell>
          <cell r="H116">
            <v>35707.199999999997</v>
          </cell>
          <cell r="I116" t="str">
            <v>1q2008</v>
          </cell>
        </row>
        <row r="117">
          <cell r="A117" t="str">
            <v>D0127</v>
          </cell>
          <cell r="B117" t="str">
            <v>DP02C</v>
          </cell>
          <cell r="C117" t="str">
            <v>DP0</v>
          </cell>
          <cell r="D117" t="str">
            <v>NUTRIDRINK YOGHURT, s malinovou príchuťou</v>
          </cell>
          <cell r="E117" t="str">
            <v>sol 1x200 ml</v>
          </cell>
          <cell r="F117">
            <v>4612</v>
          </cell>
          <cell r="G117">
            <v>242183.9</v>
          </cell>
          <cell r="H117">
            <v>46788.1</v>
          </cell>
          <cell r="I117" t="str">
            <v>1q2008</v>
          </cell>
        </row>
        <row r="118">
          <cell r="B118" t="str">
            <v>DP02C Celkom</v>
          </cell>
          <cell r="F118">
            <v>8144</v>
          </cell>
          <cell r="G118">
            <v>425478.69999999995</v>
          </cell>
          <cell r="H118">
            <v>82495.299999999988</v>
          </cell>
        </row>
        <row r="119">
          <cell r="A119" t="str">
            <v>D0128</v>
          </cell>
          <cell r="B119" t="str">
            <v>DP03F</v>
          </cell>
          <cell r="C119" t="str">
            <v>DP0</v>
          </cell>
          <cell r="D119" t="str">
            <v>NEOCATE</v>
          </cell>
          <cell r="E119" t="str">
            <v>plv 1x400 g</v>
          </cell>
          <cell r="F119">
            <v>725</v>
          </cell>
          <cell r="G119">
            <v>1587081.8</v>
          </cell>
          <cell r="H119">
            <v>87899.5</v>
          </cell>
          <cell r="I119" t="str">
            <v>1q2008</v>
          </cell>
        </row>
        <row r="120">
          <cell r="B120" t="str">
            <v>DP03F Celkom</v>
          </cell>
          <cell r="F120">
            <v>725</v>
          </cell>
          <cell r="G120">
            <v>1587081.8</v>
          </cell>
          <cell r="H120">
            <v>87899.5</v>
          </cell>
        </row>
        <row r="121">
          <cell r="A121" t="str">
            <v>D0129</v>
          </cell>
          <cell r="B121" t="str">
            <v>DP01A</v>
          </cell>
          <cell r="C121" t="str">
            <v>DP0</v>
          </cell>
          <cell r="D121" t="str">
            <v>XP ANALOG LCP</v>
          </cell>
          <cell r="E121" t="str">
            <v>plv 1x400 g</v>
          </cell>
          <cell r="F121">
            <v>87</v>
          </cell>
          <cell r="G121">
            <v>203995.2</v>
          </cell>
          <cell r="H121">
            <v>0</v>
          </cell>
          <cell r="I121" t="str">
            <v>1q2008</v>
          </cell>
        </row>
        <row r="122">
          <cell r="A122" t="str">
            <v>D0131</v>
          </cell>
          <cell r="B122" t="str">
            <v>DP01A</v>
          </cell>
          <cell r="C122" t="str">
            <v>DP0</v>
          </cell>
          <cell r="D122" t="str">
            <v>PHLEXY-10 TYČINKA</v>
          </cell>
          <cell r="E122" t="str">
            <v>sty 20x42 g</v>
          </cell>
          <cell r="F122">
            <v>7</v>
          </cell>
          <cell r="G122">
            <v>34403.4</v>
          </cell>
          <cell r="H122">
            <v>1050</v>
          </cell>
          <cell r="I122" t="str">
            <v>1q2008</v>
          </cell>
        </row>
        <row r="123">
          <cell r="B123" t="str">
            <v>DP01A Celkom</v>
          </cell>
          <cell r="F123">
            <v>94</v>
          </cell>
          <cell r="G123">
            <v>238398.6</v>
          </cell>
          <cell r="H123">
            <v>1050</v>
          </cell>
        </row>
        <row r="124">
          <cell r="A124" t="str">
            <v>D0134</v>
          </cell>
          <cell r="B124" t="str">
            <v>DP02K</v>
          </cell>
          <cell r="C124" t="str">
            <v>DP0</v>
          </cell>
          <cell r="D124" t="str">
            <v>L-ARGINÍN</v>
          </cell>
          <cell r="E124" t="str">
            <v>plv 1x100 g</v>
          </cell>
          <cell r="F124">
            <v>17</v>
          </cell>
          <cell r="G124">
            <v>36552.1</v>
          </cell>
          <cell r="H124">
            <v>0</v>
          </cell>
          <cell r="I124" t="str">
            <v>1q2008</v>
          </cell>
        </row>
        <row r="125">
          <cell r="A125" t="str">
            <v>D0137</v>
          </cell>
          <cell r="B125" t="str">
            <v>DP02K</v>
          </cell>
          <cell r="C125" t="str">
            <v>DP0</v>
          </cell>
          <cell r="D125" t="str">
            <v>L-KARNITÍN</v>
          </cell>
          <cell r="E125" t="str">
            <v>plv 1x1 g</v>
          </cell>
          <cell r="F125">
            <v>1622</v>
          </cell>
          <cell r="G125">
            <v>560198.80000000005</v>
          </cell>
          <cell r="H125">
            <v>0</v>
          </cell>
          <cell r="I125" t="str">
            <v>1q2008</v>
          </cell>
        </row>
        <row r="126">
          <cell r="B126" t="str">
            <v>DP02K Celkom</v>
          </cell>
          <cell r="F126">
            <v>1639</v>
          </cell>
          <cell r="G126">
            <v>596750.9</v>
          </cell>
          <cell r="H126">
            <v>0</v>
          </cell>
        </row>
        <row r="127">
          <cell r="A127" t="str">
            <v>D0142</v>
          </cell>
          <cell r="B127" t="str">
            <v>DP03H</v>
          </cell>
          <cell r="C127" t="str">
            <v>DP0</v>
          </cell>
          <cell r="D127" t="str">
            <v>NUTRILON BMF</v>
          </cell>
          <cell r="E127" t="str">
            <v>plv 50x2,1 g</v>
          </cell>
          <cell r="F127">
            <v>25</v>
          </cell>
          <cell r="G127">
            <v>16811.099999999999</v>
          </cell>
          <cell r="H127">
            <v>1448.2</v>
          </cell>
          <cell r="I127" t="str">
            <v>1q2008</v>
          </cell>
        </row>
        <row r="128">
          <cell r="B128" t="str">
            <v>DP03H Celkom</v>
          </cell>
          <cell r="F128">
            <v>25</v>
          </cell>
          <cell r="G128">
            <v>16811.099999999999</v>
          </cell>
          <cell r="H128">
            <v>1448.2</v>
          </cell>
        </row>
        <row r="129">
          <cell r="A129" t="str">
            <v>D0143</v>
          </cell>
          <cell r="B129" t="str">
            <v>DP03A</v>
          </cell>
          <cell r="C129" t="str">
            <v>DP0</v>
          </cell>
          <cell r="D129" t="str">
            <v>NUTRILON 1 OMNEO</v>
          </cell>
          <cell r="E129" t="str">
            <v>plv 1x400 g</v>
          </cell>
          <cell r="F129">
            <v>1782</v>
          </cell>
          <cell r="G129">
            <v>270438</v>
          </cell>
          <cell r="H129">
            <v>241310.2</v>
          </cell>
          <cell r="I129" t="str">
            <v>1q2008</v>
          </cell>
        </row>
        <row r="130">
          <cell r="A130" t="str">
            <v>D0144</v>
          </cell>
          <cell r="B130" t="str">
            <v>DP03A</v>
          </cell>
          <cell r="C130" t="str">
            <v>DP0</v>
          </cell>
          <cell r="D130" t="str">
            <v>NUTRILON 2 OMNEO</v>
          </cell>
          <cell r="E130" t="str">
            <v>plv 1x400 g</v>
          </cell>
          <cell r="F130">
            <v>2072</v>
          </cell>
          <cell r="G130">
            <v>317848.90000000002</v>
          </cell>
          <cell r="H130">
            <v>282430.09999999998</v>
          </cell>
          <cell r="I130" t="str">
            <v>1q2008</v>
          </cell>
        </row>
        <row r="131">
          <cell r="B131" t="str">
            <v>DP03A Celkom</v>
          </cell>
          <cell r="F131">
            <v>3854</v>
          </cell>
          <cell r="G131">
            <v>588286.9</v>
          </cell>
          <cell r="H131">
            <v>523740.3</v>
          </cell>
        </row>
        <row r="132">
          <cell r="A132" t="str">
            <v>D0155</v>
          </cell>
          <cell r="B132" t="str">
            <v>DP02G</v>
          </cell>
          <cell r="C132" t="str">
            <v>DP0</v>
          </cell>
          <cell r="D132" t="str">
            <v>NEPRO, vanilková príchuť</v>
          </cell>
          <cell r="E132" t="str">
            <v>sol 1x237 ml</v>
          </cell>
          <cell r="F132">
            <v>12667</v>
          </cell>
          <cell r="G132">
            <v>1563923.7</v>
          </cell>
          <cell r="H132">
            <v>5</v>
          </cell>
          <cell r="I132" t="str">
            <v>1q2008</v>
          </cell>
        </row>
        <row r="133">
          <cell r="A133" t="str">
            <v>D0156</v>
          </cell>
          <cell r="B133" t="str">
            <v>DP02G</v>
          </cell>
          <cell r="C133" t="str">
            <v>DP0</v>
          </cell>
          <cell r="D133" t="str">
            <v>NEPRO, vanilková príchuť</v>
          </cell>
          <cell r="E133" t="str">
            <v>sol 1x500 ml</v>
          </cell>
          <cell r="F133">
            <v>22</v>
          </cell>
          <cell r="G133">
            <v>1707.2</v>
          </cell>
          <cell r="H133">
            <v>1026.2</v>
          </cell>
          <cell r="I133" t="str">
            <v>1q2008</v>
          </cell>
        </row>
        <row r="134">
          <cell r="B134" t="str">
            <v>DP02G Celkom</v>
          </cell>
          <cell r="F134">
            <v>12689</v>
          </cell>
          <cell r="G134">
            <v>1565630.9</v>
          </cell>
          <cell r="H134">
            <v>1031.2</v>
          </cell>
        </row>
        <row r="135">
          <cell r="A135" t="str">
            <v>D0157</v>
          </cell>
          <cell r="B135" t="str">
            <v>DP02I</v>
          </cell>
          <cell r="C135" t="str">
            <v>DP0</v>
          </cell>
          <cell r="D135" t="str">
            <v>PULMOCARE, vanilková príchuť</v>
          </cell>
          <cell r="E135" t="str">
            <v>sol 1x500 ml</v>
          </cell>
          <cell r="F135">
            <v>298</v>
          </cell>
          <cell r="G135">
            <v>51300.2</v>
          </cell>
          <cell r="H135">
            <v>0</v>
          </cell>
          <cell r="I135" t="str">
            <v>1q2008</v>
          </cell>
        </row>
        <row r="136">
          <cell r="B136" t="str">
            <v>DP02I Celkom</v>
          </cell>
          <cell r="F136">
            <v>298</v>
          </cell>
          <cell r="G136">
            <v>51300.2</v>
          </cell>
          <cell r="H136">
            <v>0</v>
          </cell>
        </row>
        <row r="137">
          <cell r="A137" t="str">
            <v>D0158</v>
          </cell>
          <cell r="B137" t="str">
            <v>DP02J</v>
          </cell>
          <cell r="C137" t="str">
            <v>DP0</v>
          </cell>
          <cell r="D137" t="str">
            <v>PROSURE, vanilková príchuť</v>
          </cell>
          <cell r="E137" t="str">
            <v>sol 1x240 ml</v>
          </cell>
          <cell r="F137">
            <v>19108</v>
          </cell>
          <cell r="G137">
            <v>1912188</v>
          </cell>
          <cell r="H137">
            <v>0</v>
          </cell>
          <cell r="I137" t="str">
            <v>1q2008</v>
          </cell>
        </row>
        <row r="138">
          <cell r="A138" t="str">
            <v>D0159</v>
          </cell>
          <cell r="B138" t="str">
            <v>DP02J</v>
          </cell>
          <cell r="C138" t="str">
            <v>DP0</v>
          </cell>
          <cell r="D138" t="str">
            <v>PROSURE, banánová príchuť</v>
          </cell>
          <cell r="E138" t="str">
            <v>sol 1x240 ml</v>
          </cell>
          <cell r="F138">
            <v>23345</v>
          </cell>
          <cell r="G138">
            <v>2334895.7999999998</v>
          </cell>
          <cell r="H138">
            <v>0</v>
          </cell>
          <cell r="I138" t="str">
            <v>1q2008</v>
          </cell>
        </row>
        <row r="139">
          <cell r="A139" t="str">
            <v>D0160</v>
          </cell>
          <cell r="B139" t="str">
            <v>DP02J</v>
          </cell>
          <cell r="C139" t="str">
            <v>DP0</v>
          </cell>
          <cell r="D139" t="str">
            <v>PROSURE, pomarančová príchuť</v>
          </cell>
          <cell r="E139" t="str">
            <v>sol 1x240 ml</v>
          </cell>
          <cell r="F139">
            <v>12617</v>
          </cell>
          <cell r="G139">
            <v>1267569.6000000001</v>
          </cell>
          <cell r="H139">
            <v>289</v>
          </cell>
          <cell r="I139" t="str">
            <v>1q2008</v>
          </cell>
        </row>
        <row r="140">
          <cell r="B140" t="str">
            <v>DP02J Celkom</v>
          </cell>
          <cell r="F140">
            <v>55070</v>
          </cell>
          <cell r="G140">
            <v>5514653.4000000004</v>
          </cell>
          <cell r="H140">
            <v>289</v>
          </cell>
        </row>
        <row r="141">
          <cell r="A141" t="str">
            <v>D0165</v>
          </cell>
          <cell r="B141" t="str">
            <v>DP01A</v>
          </cell>
          <cell r="C141" t="str">
            <v>DP0</v>
          </cell>
          <cell r="D141" t="str">
            <v>XPhe Advance Se</v>
          </cell>
          <cell r="E141" t="str">
            <v>plv 1x500 g</v>
          </cell>
          <cell r="F141">
            <v>350</v>
          </cell>
          <cell r="G141">
            <v>2134846</v>
          </cell>
          <cell r="H141">
            <v>0</v>
          </cell>
          <cell r="I141" t="str">
            <v>1q2008</v>
          </cell>
        </row>
        <row r="142">
          <cell r="A142" t="str">
            <v>D0166</v>
          </cell>
          <cell r="B142" t="str">
            <v>DP01A</v>
          </cell>
          <cell r="C142" t="str">
            <v>DP0</v>
          </cell>
          <cell r="D142" t="str">
            <v>XPhe Kid Se</v>
          </cell>
          <cell r="E142" t="str">
            <v>plv 1x500 g</v>
          </cell>
          <cell r="F142">
            <v>43</v>
          </cell>
          <cell r="G142">
            <v>241161.5</v>
          </cell>
          <cell r="H142">
            <v>0</v>
          </cell>
          <cell r="I142" t="str">
            <v>1q2008</v>
          </cell>
        </row>
        <row r="143">
          <cell r="A143" t="str">
            <v>D0167</v>
          </cell>
          <cell r="B143" t="str">
            <v>DP01A</v>
          </cell>
          <cell r="C143" t="str">
            <v>DP0</v>
          </cell>
          <cell r="D143" t="str">
            <v>XPhe Junior Se</v>
          </cell>
          <cell r="E143" t="str">
            <v>plv 1x500 g</v>
          </cell>
          <cell r="F143">
            <v>20</v>
          </cell>
          <cell r="G143">
            <v>113114</v>
          </cell>
          <cell r="H143">
            <v>0</v>
          </cell>
          <cell r="I143" t="str">
            <v>1q2008</v>
          </cell>
        </row>
        <row r="144">
          <cell r="B144" t="str">
            <v>DP01A Celkom</v>
          </cell>
          <cell r="F144">
            <v>413</v>
          </cell>
          <cell r="G144">
            <v>2489121.5</v>
          </cell>
          <cell r="H144">
            <v>0</v>
          </cell>
        </row>
        <row r="145">
          <cell r="A145" t="str">
            <v>D0168</v>
          </cell>
          <cell r="B145" t="str">
            <v>DP03I</v>
          </cell>
          <cell r="C145" t="str">
            <v>DP0</v>
          </cell>
          <cell r="D145" t="str">
            <v>Ženské materské mlieko s nákladmi na jeho odber</v>
          </cell>
          <cell r="E145" t="str">
            <v>1x1000 ml</v>
          </cell>
          <cell r="F145">
            <v>49817.09</v>
          </cell>
          <cell r="G145">
            <v>61215.6</v>
          </cell>
          <cell r="H145">
            <v>0</v>
          </cell>
          <cell r="I145" t="str">
            <v>1q2008</v>
          </cell>
        </row>
        <row r="146">
          <cell r="A146" t="str">
            <v>D0169</v>
          </cell>
          <cell r="B146" t="str">
            <v>DP03I</v>
          </cell>
          <cell r="C146" t="str">
            <v>DP0</v>
          </cell>
          <cell r="D146" t="str">
            <v>Ženské materské mlieko bez nákladov na jeho odber</v>
          </cell>
          <cell r="E146" t="str">
            <v>1x1000 ml</v>
          </cell>
          <cell r="F146">
            <v>44293</v>
          </cell>
          <cell r="G146">
            <v>43588.45</v>
          </cell>
          <cell r="H146">
            <v>0</v>
          </cell>
          <cell r="I146" t="str">
            <v>1q2008</v>
          </cell>
        </row>
        <row r="147">
          <cell r="B147" t="str">
            <v>DP03I Celkom</v>
          </cell>
          <cell r="F147">
            <v>94110.09</v>
          </cell>
          <cell r="G147">
            <v>104804.04999999999</v>
          </cell>
          <cell r="H147">
            <v>0</v>
          </cell>
        </row>
        <row r="148">
          <cell r="A148" t="str">
            <v>D0170</v>
          </cell>
          <cell r="B148" t="str">
            <v>DP01J</v>
          </cell>
          <cell r="C148" t="str">
            <v>DP0</v>
          </cell>
          <cell r="D148" t="str">
            <v>PROMIX-CH, zmes na prípravu bezlepkového chleba</v>
          </cell>
          <cell r="E148" t="str">
            <v>plv 1 x 1000 g</v>
          </cell>
          <cell r="F148">
            <v>11712</v>
          </cell>
          <cell r="G148">
            <v>1121859.3999999999</v>
          </cell>
          <cell r="H148">
            <v>302806.7</v>
          </cell>
          <cell r="I148" t="str">
            <v>1q2008</v>
          </cell>
        </row>
        <row r="149">
          <cell r="A149" t="str">
            <v>D0171</v>
          </cell>
          <cell r="B149" t="str">
            <v>DP01J</v>
          </cell>
          <cell r="C149" t="str">
            <v>DP0</v>
          </cell>
          <cell r="D149" t="str">
            <v>PROMIX-PK, zmes na bezlepkové pečivo</v>
          </cell>
          <cell r="E149" t="str">
            <v>plv 1 x 1000 g</v>
          </cell>
          <cell r="F149">
            <v>7753</v>
          </cell>
          <cell r="G149">
            <v>740288.6</v>
          </cell>
          <cell r="H149">
            <v>200112.42</v>
          </cell>
          <cell r="I149" t="str">
            <v>1q2008</v>
          </cell>
        </row>
        <row r="150">
          <cell r="A150" t="str">
            <v>D0172</v>
          </cell>
          <cell r="B150" t="str">
            <v>DP01J</v>
          </cell>
          <cell r="C150" t="str">
            <v>DP0</v>
          </cell>
          <cell r="D150" t="str">
            <v>PROMIX-UNI, univerzálna bezlepková múka</v>
          </cell>
          <cell r="E150" t="str">
            <v>plv 1 x 1000 g</v>
          </cell>
          <cell r="F150">
            <v>14041</v>
          </cell>
          <cell r="G150">
            <v>1595513</v>
          </cell>
          <cell r="H150">
            <v>400639.3</v>
          </cell>
          <cell r="I150" t="str">
            <v>1q2008</v>
          </cell>
        </row>
        <row r="151">
          <cell r="A151" t="str">
            <v>D0173</v>
          </cell>
          <cell r="B151" t="str">
            <v>DP01J</v>
          </cell>
          <cell r="C151" t="str">
            <v>DP0</v>
          </cell>
          <cell r="D151" t="str">
            <v>PROMIX-T, univerzálna bezlepková múka tmavá</v>
          </cell>
          <cell r="E151" t="str">
            <v>plv 1 x 1000 g</v>
          </cell>
          <cell r="F151">
            <v>4338</v>
          </cell>
          <cell r="G151">
            <v>492220.9</v>
          </cell>
          <cell r="H151">
            <v>123556.6</v>
          </cell>
          <cell r="I151" t="str">
            <v>1q2008</v>
          </cell>
        </row>
        <row r="152">
          <cell r="B152" t="str">
            <v>DP01J Celkom</v>
          </cell>
          <cell r="F152">
            <v>37844</v>
          </cell>
          <cell r="G152">
            <v>3949881.9</v>
          </cell>
          <cell r="H152">
            <v>1027115.0199999999</v>
          </cell>
        </row>
        <row r="153">
          <cell r="A153" t="str">
            <v>D0174</v>
          </cell>
          <cell r="B153" t="str">
            <v>DP01A</v>
          </cell>
          <cell r="C153" t="str">
            <v>DP0</v>
          </cell>
          <cell r="D153" t="str">
            <v>APROMIX, nízkobielkovinová múka</v>
          </cell>
          <cell r="E153" t="str">
            <v>1 x 1000 g</v>
          </cell>
          <cell r="F153">
            <v>1055</v>
          </cell>
          <cell r="G153">
            <v>117175.1</v>
          </cell>
          <cell r="H153">
            <v>10397.799999999999</v>
          </cell>
          <cell r="I153" t="str">
            <v>1q2008</v>
          </cell>
        </row>
        <row r="154">
          <cell r="B154" t="str">
            <v>DP01A Celkom</v>
          </cell>
          <cell r="F154">
            <v>1055</v>
          </cell>
          <cell r="G154">
            <v>117175.1</v>
          </cell>
          <cell r="H154">
            <v>10397.799999999999</v>
          </cell>
        </row>
        <row r="155">
          <cell r="A155" t="str">
            <v>D0175</v>
          </cell>
          <cell r="B155" t="str">
            <v>DP01J</v>
          </cell>
          <cell r="C155" t="str">
            <v>DP0</v>
          </cell>
          <cell r="D155" t="str">
            <v>KRUPICA bezlepková</v>
          </cell>
          <cell r="E155" t="str">
            <v>plv 1 x 500 g</v>
          </cell>
          <cell r="F155">
            <v>1525</v>
          </cell>
          <cell r="G155">
            <v>92258.5</v>
          </cell>
          <cell r="H155">
            <v>78160.3</v>
          </cell>
          <cell r="I155" t="str">
            <v>1q2008</v>
          </cell>
        </row>
        <row r="156">
          <cell r="A156" t="str">
            <v>D0180</v>
          </cell>
          <cell r="B156" t="str">
            <v>DP01J</v>
          </cell>
          <cell r="C156" t="str">
            <v>DP0</v>
          </cell>
          <cell r="D156" t="str">
            <v>PROCEL – bezlepkové cestoviny</v>
          </cell>
          <cell r="E156" t="str">
            <v>1x250 g</v>
          </cell>
          <cell r="F156">
            <v>28981</v>
          </cell>
          <cell r="G156">
            <v>1175169.94</v>
          </cell>
          <cell r="H156">
            <v>956303.78</v>
          </cell>
          <cell r="I156" t="str">
            <v>1q2008</v>
          </cell>
        </row>
        <row r="157">
          <cell r="B157" t="str">
            <v>DP01J Celkom</v>
          </cell>
          <cell r="F157">
            <v>30506</v>
          </cell>
          <cell r="G157">
            <v>1267428.44</v>
          </cell>
          <cell r="H157">
            <v>1034464.0800000001</v>
          </cell>
        </row>
        <row r="158">
          <cell r="A158" t="str">
            <v>D0181</v>
          </cell>
          <cell r="B158" t="str">
            <v>DP01A</v>
          </cell>
          <cell r="C158" t="str">
            <v>DP0</v>
          </cell>
          <cell r="D158" t="str">
            <v>APROCEL – nízkobielkovinové cestoviny</v>
          </cell>
          <cell r="E158" t="str">
            <v>1 x 250 g</v>
          </cell>
          <cell r="F158">
            <v>1943</v>
          </cell>
          <cell r="G158">
            <v>71430.899999999994</v>
          </cell>
          <cell r="H158">
            <v>71088.399999999994</v>
          </cell>
          <cell r="I158" t="str">
            <v>1q2008</v>
          </cell>
        </row>
        <row r="159">
          <cell r="A159" t="str">
            <v>D0182</v>
          </cell>
          <cell r="B159" t="str">
            <v>DP01A</v>
          </cell>
          <cell r="C159" t="str">
            <v>DP0</v>
          </cell>
          <cell r="D159" t="str">
            <v>Nízkobielkovinové  OBLÁTKY</v>
          </cell>
          <cell r="E159" t="str">
            <v>1 x 100 g</v>
          </cell>
          <cell r="F159">
            <v>203</v>
          </cell>
          <cell r="G159">
            <v>9882.7000000000007</v>
          </cell>
          <cell r="H159">
            <v>13141.8</v>
          </cell>
          <cell r="I159" t="str">
            <v>1q2008</v>
          </cell>
        </row>
        <row r="160">
          <cell r="B160" t="str">
            <v>DP01A Celkom</v>
          </cell>
          <cell r="F160">
            <v>2146</v>
          </cell>
          <cell r="G160">
            <v>81313.599999999991</v>
          </cell>
          <cell r="H160">
            <v>84230.2</v>
          </cell>
        </row>
        <row r="161">
          <cell r="A161" t="str">
            <v>D0185</v>
          </cell>
          <cell r="B161" t="str">
            <v>DP01J</v>
          </cell>
          <cell r="C161" t="str">
            <v>DP0</v>
          </cell>
          <cell r="D161" t="str">
            <v>Chlieb bezlepkový svetlý (trvanlivý)</v>
          </cell>
          <cell r="E161" t="str">
            <v>1x360 g</v>
          </cell>
          <cell r="F161">
            <v>816</v>
          </cell>
          <cell r="G161">
            <v>47245.1</v>
          </cell>
          <cell r="H161">
            <v>36799.199999999997</v>
          </cell>
          <cell r="I161" t="str">
            <v>1q2008</v>
          </cell>
        </row>
        <row r="162">
          <cell r="B162" t="str">
            <v>DP01J Celkom</v>
          </cell>
          <cell r="F162">
            <v>816</v>
          </cell>
          <cell r="G162">
            <v>47245.1</v>
          </cell>
          <cell r="H162">
            <v>36799.199999999997</v>
          </cell>
        </row>
        <row r="163">
          <cell r="A163" t="str">
            <v>D0186</v>
          </cell>
          <cell r="B163" t="str">
            <v>DP01A</v>
          </cell>
          <cell r="C163" t="str">
            <v>DP0</v>
          </cell>
          <cell r="D163" t="str">
            <v>SinPhe 1</v>
          </cell>
          <cell r="E163" t="str">
            <v>plv 1x500 g</v>
          </cell>
          <cell r="F163">
            <v>481</v>
          </cell>
          <cell r="G163">
            <v>2374905.5</v>
          </cell>
          <cell r="H163">
            <v>0</v>
          </cell>
          <cell r="I163" t="str">
            <v>1q2008</v>
          </cell>
        </row>
        <row r="164">
          <cell r="A164" t="str">
            <v>D0187</v>
          </cell>
          <cell r="B164" t="str">
            <v>DP01A</v>
          </cell>
          <cell r="C164" t="str">
            <v>DP0</v>
          </cell>
          <cell r="D164" t="str">
            <v>SinPhe 1</v>
          </cell>
          <cell r="E164" t="str">
            <v>plv 4x500 g</v>
          </cell>
          <cell r="F164">
            <v>3</v>
          </cell>
          <cell r="G164">
            <v>60827.7</v>
          </cell>
          <cell r="H164">
            <v>0</v>
          </cell>
          <cell r="I164" t="str">
            <v>1q2008</v>
          </cell>
        </row>
        <row r="165">
          <cell r="B165" t="str">
            <v>DP01A Celkom</v>
          </cell>
          <cell r="F165">
            <v>484</v>
          </cell>
          <cell r="G165">
            <v>2435733.2000000002</v>
          </cell>
          <cell r="H165">
            <v>0</v>
          </cell>
        </row>
        <row r="166">
          <cell r="A166" t="str">
            <v>D0188</v>
          </cell>
          <cell r="B166" t="str">
            <v>DP01J</v>
          </cell>
          <cell r="C166" t="str">
            <v>DP0</v>
          </cell>
          <cell r="D166" t="str">
            <v>BEZLEPKOVÝ CHLIEB mazanec</v>
          </cell>
          <cell r="E166" t="str">
            <v>plv 1x500 g</v>
          </cell>
          <cell r="F166">
            <v>667</v>
          </cell>
          <cell r="G166">
            <v>30371.9</v>
          </cell>
          <cell r="H166">
            <v>7597.7</v>
          </cell>
          <cell r="I166" t="str">
            <v>1q2008</v>
          </cell>
        </row>
        <row r="167">
          <cell r="A167" t="str">
            <v>D0189</v>
          </cell>
          <cell r="B167" t="str">
            <v>DP01J</v>
          </cell>
          <cell r="C167" t="str">
            <v>DP0</v>
          </cell>
          <cell r="D167" t="str">
            <v>BEZLEPKOVÝ CHLIEB tmavý</v>
          </cell>
          <cell r="E167" t="str">
            <v>plv 1x500 g</v>
          </cell>
          <cell r="F167">
            <v>1578</v>
          </cell>
          <cell r="G167">
            <v>72148.100000000006</v>
          </cell>
          <cell r="H167">
            <v>18120.099999999999</v>
          </cell>
          <cell r="I167" t="str">
            <v>1q2008</v>
          </cell>
        </row>
        <row r="168">
          <cell r="A168" t="str">
            <v>D0190</v>
          </cell>
          <cell r="B168" t="str">
            <v>DP01J</v>
          </cell>
          <cell r="C168" t="str">
            <v>DP0</v>
          </cell>
          <cell r="D168" t="str">
            <v>BEZLEPKOVÝ CHLIEB svetlý</v>
          </cell>
          <cell r="E168" t="str">
            <v>plv 1x500 g</v>
          </cell>
          <cell r="F168">
            <v>1093</v>
          </cell>
          <cell r="G168">
            <v>48730.3</v>
          </cell>
          <cell r="H168">
            <v>12254.5</v>
          </cell>
          <cell r="I168" t="str">
            <v>1q2008</v>
          </cell>
        </row>
        <row r="169">
          <cell r="B169" t="str">
            <v>DP01J Celkom</v>
          </cell>
          <cell r="F169">
            <v>3338</v>
          </cell>
          <cell r="G169">
            <v>151250.29999999999</v>
          </cell>
          <cell r="H169">
            <v>37972.300000000003</v>
          </cell>
        </row>
        <row r="170">
          <cell r="A170" t="str">
            <v>D0193</v>
          </cell>
          <cell r="B170" t="str">
            <v>DP01A</v>
          </cell>
          <cell r="C170" t="str">
            <v>DP0</v>
          </cell>
          <cell r="D170" t="str">
            <v>APROMIX-T plus, tmavá nízkobielkovinová múka</v>
          </cell>
          <cell r="E170" t="str">
            <v>1 x 1000 g</v>
          </cell>
          <cell r="F170">
            <v>157</v>
          </cell>
          <cell r="G170">
            <v>17610.599999999999</v>
          </cell>
          <cell r="H170">
            <v>9758.7999999999993</v>
          </cell>
          <cell r="I170" t="str">
            <v>1q2008</v>
          </cell>
        </row>
        <row r="171">
          <cell r="B171" t="str">
            <v>DP01A Celkom</v>
          </cell>
          <cell r="F171">
            <v>157</v>
          </cell>
          <cell r="G171">
            <v>17610.599999999999</v>
          </cell>
          <cell r="H171">
            <v>9758.7999999999993</v>
          </cell>
        </row>
        <row r="172">
          <cell r="A172" t="str">
            <v>D0194</v>
          </cell>
          <cell r="B172" t="str">
            <v>DP01J</v>
          </cell>
          <cell r="C172" t="str">
            <v>DP0</v>
          </cell>
          <cell r="D172" t="str">
            <v>PROMIX-FORTE, silná bezlepková múka</v>
          </cell>
          <cell r="E172" t="str">
            <v>plv 1 x 1000 g</v>
          </cell>
          <cell r="F172">
            <v>3583</v>
          </cell>
          <cell r="G172">
            <v>405834.7</v>
          </cell>
          <cell r="H172">
            <v>214723</v>
          </cell>
          <cell r="I172" t="str">
            <v>1q2008</v>
          </cell>
        </row>
        <row r="173">
          <cell r="B173" t="str">
            <v>DP01J Celkom</v>
          </cell>
          <cell r="F173">
            <v>3583</v>
          </cell>
          <cell r="G173">
            <v>405834.7</v>
          </cell>
          <cell r="H173">
            <v>214723</v>
          </cell>
        </row>
        <row r="174">
          <cell r="A174" t="str">
            <v>D0195</v>
          </cell>
          <cell r="B174" t="str">
            <v>DP01A</v>
          </cell>
          <cell r="C174" t="str">
            <v>DP0</v>
          </cell>
          <cell r="D174" t="str">
            <v>APROMIX-plus, nízkobielkovinová múka</v>
          </cell>
          <cell r="E174" t="str">
            <v>1 x 1000 g</v>
          </cell>
          <cell r="F174">
            <v>108</v>
          </cell>
          <cell r="G174">
            <v>12101</v>
          </cell>
          <cell r="H174">
            <v>6706</v>
          </cell>
          <cell r="I174" t="str">
            <v>1q2008</v>
          </cell>
        </row>
        <row r="175">
          <cell r="B175" t="str">
            <v>DP01A Celkom</v>
          </cell>
          <cell r="F175">
            <v>108</v>
          </cell>
          <cell r="G175">
            <v>12101</v>
          </cell>
          <cell r="H175">
            <v>6706</v>
          </cell>
        </row>
        <row r="176">
          <cell r="A176" t="str">
            <v>D0196</v>
          </cell>
          <cell r="B176" t="str">
            <v>DP01G</v>
          </cell>
          <cell r="C176" t="str">
            <v>DP0</v>
          </cell>
          <cell r="D176" t="str">
            <v>IMTV-AM 1</v>
          </cell>
          <cell r="E176" t="str">
            <v>plv 1x400 g</v>
          </cell>
          <cell r="F176">
            <v>1</v>
          </cell>
          <cell r="G176">
            <v>5630.5</v>
          </cell>
          <cell r="H176">
            <v>0</v>
          </cell>
          <cell r="I176" t="str">
            <v>1q2008</v>
          </cell>
        </row>
        <row r="177">
          <cell r="B177" t="str">
            <v>DP01G Celkom</v>
          </cell>
          <cell r="F177">
            <v>1</v>
          </cell>
          <cell r="G177">
            <v>5630.5</v>
          </cell>
          <cell r="H177">
            <v>0</v>
          </cell>
        </row>
        <row r="178">
          <cell r="A178" t="str">
            <v>D0197</v>
          </cell>
          <cell r="B178" t="str">
            <v>DP01I</v>
          </cell>
          <cell r="C178" t="str">
            <v>DP0</v>
          </cell>
          <cell r="D178" t="str">
            <v>KETOCAL</v>
          </cell>
          <cell r="E178" t="str">
            <v>plv 1 x 300 g</v>
          </cell>
          <cell r="F178">
            <v>15</v>
          </cell>
          <cell r="G178">
            <v>26982</v>
          </cell>
          <cell r="H178">
            <v>525</v>
          </cell>
          <cell r="I178" t="str">
            <v>1q2008</v>
          </cell>
        </row>
        <row r="179">
          <cell r="A179" t="str">
            <v>D0198</v>
          </cell>
          <cell r="B179" t="str">
            <v>DP01I</v>
          </cell>
          <cell r="C179" t="str">
            <v>DP0</v>
          </cell>
          <cell r="D179" t="str">
            <v>KETOCAL - vanilka</v>
          </cell>
          <cell r="E179" t="str">
            <v>plv 1 x 300 g</v>
          </cell>
          <cell r="F179">
            <v>42</v>
          </cell>
          <cell r="G179">
            <v>75549.600000000006</v>
          </cell>
          <cell r="H179">
            <v>1470</v>
          </cell>
          <cell r="I179" t="str">
            <v>1q2008</v>
          </cell>
        </row>
        <row r="180">
          <cell r="B180" t="str">
            <v>DP01I Celkom</v>
          </cell>
          <cell r="F180">
            <v>57</v>
          </cell>
          <cell r="G180">
            <v>102531.6</v>
          </cell>
          <cell r="H180">
            <v>1995</v>
          </cell>
        </row>
        <row r="181">
          <cell r="A181" t="str">
            <v>D0199</v>
          </cell>
          <cell r="B181" t="str">
            <v>DP02A</v>
          </cell>
          <cell r="C181" t="str">
            <v>DP0</v>
          </cell>
          <cell r="D181" t="str">
            <v>NUTRISON STANDARD</v>
          </cell>
          <cell r="E181" t="str">
            <v>sol 1x1000 ml</v>
          </cell>
          <cell r="F181">
            <v>60</v>
          </cell>
          <cell r="G181">
            <v>5250</v>
          </cell>
          <cell r="H181">
            <v>2376</v>
          </cell>
          <cell r="I181" t="str">
            <v>1q2008</v>
          </cell>
        </row>
        <row r="182">
          <cell r="B182" t="str">
            <v>DP02A Celkom</v>
          </cell>
          <cell r="F182">
            <v>60</v>
          </cell>
          <cell r="G182">
            <v>5250</v>
          </cell>
          <cell r="H182">
            <v>2376</v>
          </cell>
        </row>
        <row r="183">
          <cell r="A183" t="str">
            <v>D0201</v>
          </cell>
          <cell r="B183" t="str">
            <v>DP02B</v>
          </cell>
          <cell r="C183" t="str">
            <v>DP0</v>
          </cell>
          <cell r="D183" t="str">
            <v>NUTRISON MULTIFIBRE</v>
          </cell>
          <cell r="E183" t="str">
            <v>sol 1x1000 ml</v>
          </cell>
          <cell r="F183">
            <v>288</v>
          </cell>
          <cell r="G183">
            <v>57379.7</v>
          </cell>
          <cell r="H183">
            <v>31026.1</v>
          </cell>
          <cell r="I183" t="str">
            <v>1q2008</v>
          </cell>
        </row>
        <row r="184">
          <cell r="B184" t="str">
            <v>DP02B Celkom</v>
          </cell>
          <cell r="F184">
            <v>288</v>
          </cell>
          <cell r="G184">
            <v>57379.7</v>
          </cell>
          <cell r="H184">
            <v>31026.1</v>
          </cell>
        </row>
        <row r="185">
          <cell r="A185" t="str">
            <v>D0202</v>
          </cell>
          <cell r="B185" t="str">
            <v>DP02D</v>
          </cell>
          <cell r="C185" t="str">
            <v>DP0</v>
          </cell>
          <cell r="D185" t="str">
            <v>NUTRISON PROTEIN Plus Multifibre</v>
          </cell>
          <cell r="E185" t="str">
            <v>sol 1x500 ml</v>
          </cell>
          <cell r="F185">
            <v>181</v>
          </cell>
          <cell r="G185">
            <v>48354.5</v>
          </cell>
          <cell r="H185">
            <v>135.4</v>
          </cell>
          <cell r="I185" t="str">
            <v>1q2008</v>
          </cell>
        </row>
        <row r="186">
          <cell r="B186" t="str">
            <v>DP02D Celkom</v>
          </cell>
          <cell r="F186">
            <v>181</v>
          </cell>
          <cell r="G186">
            <v>48354.5</v>
          </cell>
          <cell r="H186">
            <v>135.4</v>
          </cell>
        </row>
        <row r="187">
          <cell r="A187" t="str">
            <v>D0203</v>
          </cell>
          <cell r="B187" t="str">
            <v>DP01A</v>
          </cell>
          <cell r="C187" t="str">
            <v>DP0</v>
          </cell>
          <cell r="D187" t="str">
            <v>MINAPHLEX</v>
          </cell>
          <cell r="E187" t="str">
            <v>plv 1x 29 g</v>
          </cell>
          <cell r="F187">
            <v>930</v>
          </cell>
          <cell r="G187">
            <v>298503</v>
          </cell>
          <cell r="H187">
            <v>2257</v>
          </cell>
          <cell r="I187" t="str">
            <v>1q2008</v>
          </cell>
        </row>
        <row r="188">
          <cell r="A188" t="str">
            <v>D0208</v>
          </cell>
          <cell r="B188" t="str">
            <v>DP01A</v>
          </cell>
          <cell r="C188" t="str">
            <v>DP0</v>
          </cell>
          <cell r="D188" t="str">
            <v>DAMIN LOW PROTEIN MIX</v>
          </cell>
          <cell r="E188" t="str">
            <v>1 x 400 g</v>
          </cell>
          <cell r="F188">
            <v>950</v>
          </cell>
          <cell r="G188">
            <v>192776.6</v>
          </cell>
          <cell r="H188">
            <v>1617</v>
          </cell>
          <cell r="I188" t="str">
            <v>1q2008</v>
          </cell>
        </row>
        <row r="189">
          <cell r="A189" t="str">
            <v>D0209</v>
          </cell>
          <cell r="B189" t="str">
            <v>DP01A</v>
          </cell>
          <cell r="C189" t="str">
            <v>DP0</v>
          </cell>
          <cell r="D189" t="str">
            <v>LOPROFIN PKU milk drink</v>
          </cell>
          <cell r="E189" t="str">
            <v>sol 1x200 ml</v>
          </cell>
          <cell r="F189">
            <v>15</v>
          </cell>
          <cell r="G189">
            <v>699</v>
          </cell>
          <cell r="H189">
            <v>351</v>
          </cell>
          <cell r="I189" t="str">
            <v>1q2008</v>
          </cell>
        </row>
        <row r="190">
          <cell r="A190" t="str">
            <v>D0210</v>
          </cell>
          <cell r="B190" t="str">
            <v>DP01A</v>
          </cell>
          <cell r="C190" t="str">
            <v>DP0</v>
          </cell>
          <cell r="D190" t="str">
            <v>LOPROFIN dlhé špagety</v>
          </cell>
          <cell r="E190" t="str">
            <v>1x500 g</v>
          </cell>
          <cell r="F190">
            <v>18</v>
          </cell>
          <cell r="G190">
            <v>2331</v>
          </cell>
          <cell r="H190">
            <v>3033</v>
          </cell>
          <cell r="I190" t="str">
            <v>1q2008</v>
          </cell>
        </row>
        <row r="191">
          <cell r="A191" t="str">
            <v>D0211</v>
          </cell>
          <cell r="B191" t="str">
            <v>DP01A</v>
          </cell>
          <cell r="C191" t="str">
            <v>DP0</v>
          </cell>
          <cell r="D191" t="str">
            <v>LOPROFIN low protein herb crackers</v>
          </cell>
          <cell r="E191" t="str">
            <v>1x150 g</v>
          </cell>
          <cell r="F191">
            <v>13</v>
          </cell>
          <cell r="G191">
            <v>1513.8</v>
          </cell>
          <cell r="H191">
            <v>1841</v>
          </cell>
          <cell r="I191" t="str">
            <v>1q2008</v>
          </cell>
        </row>
        <row r="192">
          <cell r="A192" t="str">
            <v>D0212</v>
          </cell>
          <cell r="B192" t="str">
            <v>DP01A</v>
          </cell>
          <cell r="C192" t="str">
            <v>DP0</v>
          </cell>
          <cell r="D192" t="str">
            <v>MILUPA lp-drink</v>
          </cell>
          <cell r="E192" t="str">
            <v>1 x 400 g</v>
          </cell>
          <cell r="F192">
            <v>96</v>
          </cell>
          <cell r="G192">
            <v>43572.1</v>
          </cell>
          <cell r="H192">
            <v>16439.900000000001</v>
          </cell>
          <cell r="I192" t="str">
            <v>1q2008</v>
          </cell>
        </row>
        <row r="193">
          <cell r="A193" t="str">
            <v>D0213</v>
          </cell>
          <cell r="B193" t="str">
            <v>DP01A</v>
          </cell>
          <cell r="C193" t="str">
            <v>DP0</v>
          </cell>
          <cell r="D193" t="str">
            <v>MILUPA lp-flakes</v>
          </cell>
          <cell r="E193" t="str">
            <v>1x375 g</v>
          </cell>
          <cell r="F193">
            <v>12</v>
          </cell>
          <cell r="G193">
            <v>2292.9</v>
          </cell>
          <cell r="H193">
            <v>1353.1</v>
          </cell>
          <cell r="I193" t="str">
            <v>1q2008</v>
          </cell>
        </row>
        <row r="194">
          <cell r="A194" t="str">
            <v>D0214</v>
          </cell>
          <cell r="B194" t="str">
            <v>DP01A</v>
          </cell>
          <cell r="C194" t="str">
            <v>DP0</v>
          </cell>
          <cell r="D194" t="str">
            <v>MILUPA lp-ringlets</v>
          </cell>
          <cell r="E194" t="str">
            <v>1x250 g</v>
          </cell>
          <cell r="F194">
            <v>55</v>
          </cell>
          <cell r="G194">
            <v>6949.2</v>
          </cell>
          <cell r="H194">
            <v>6642.4</v>
          </cell>
          <cell r="I194" t="str">
            <v>1q2008</v>
          </cell>
        </row>
        <row r="195">
          <cell r="A195" t="str">
            <v>D0215</v>
          </cell>
          <cell r="B195" t="str">
            <v>DP01A</v>
          </cell>
          <cell r="C195" t="str">
            <v>DP0</v>
          </cell>
          <cell r="D195" t="str">
            <v>MILUPA BASIC-P</v>
          </cell>
          <cell r="E195" t="str">
            <v>plv 1x400 g</v>
          </cell>
          <cell r="F195">
            <v>156</v>
          </cell>
          <cell r="G195">
            <v>193067.6</v>
          </cell>
          <cell r="H195">
            <v>5270.8</v>
          </cell>
          <cell r="I195" t="str">
            <v>1q2008</v>
          </cell>
        </row>
        <row r="196">
          <cell r="A196" t="str">
            <v>D0216</v>
          </cell>
          <cell r="B196" t="str">
            <v>DP01A</v>
          </cell>
          <cell r="C196" t="str">
            <v>DP0</v>
          </cell>
          <cell r="D196" t="str">
            <v>MILUPA PKU 1 MIX</v>
          </cell>
          <cell r="E196" t="str">
            <v>plv 1x1000 g</v>
          </cell>
          <cell r="F196">
            <v>15</v>
          </cell>
          <cell r="G196">
            <v>58773</v>
          </cell>
          <cell r="H196">
            <v>0</v>
          </cell>
          <cell r="I196" t="str">
            <v>1q2008</v>
          </cell>
        </row>
        <row r="197">
          <cell r="B197" t="str">
            <v>DP01A Celkom</v>
          </cell>
          <cell r="F197">
            <v>2260</v>
          </cell>
          <cell r="G197">
            <v>800478.2</v>
          </cell>
          <cell r="H197">
            <v>38805.200000000004</v>
          </cell>
        </row>
        <row r="198">
          <cell r="A198" t="str">
            <v>D0217</v>
          </cell>
          <cell r="B198" t="str">
            <v>DP03C</v>
          </cell>
          <cell r="C198" t="str">
            <v>DP0</v>
          </cell>
          <cell r="D198" t="str">
            <v>NUTRITON</v>
          </cell>
          <cell r="E198" t="str">
            <v>plv 1x135 g</v>
          </cell>
          <cell r="F198">
            <v>462</v>
          </cell>
          <cell r="G198">
            <v>37820.800000000003</v>
          </cell>
          <cell r="H198">
            <v>89940.5</v>
          </cell>
          <cell r="I198" t="str">
            <v>1q2008</v>
          </cell>
        </row>
        <row r="199">
          <cell r="B199" t="str">
            <v>DP03C Celkom</v>
          </cell>
          <cell r="F199">
            <v>462</v>
          </cell>
          <cell r="G199">
            <v>37820.800000000003</v>
          </cell>
          <cell r="H199">
            <v>89940.5</v>
          </cell>
        </row>
        <row r="200">
          <cell r="A200" t="str">
            <v>D0218</v>
          </cell>
          <cell r="B200" t="str">
            <v>DP02C</v>
          </cell>
          <cell r="C200" t="str">
            <v>DP0</v>
          </cell>
          <cell r="D200" t="str">
            <v>ENSURE PLUS, príchuť čiernych ríbezlí</v>
          </cell>
          <cell r="E200" t="str">
            <v>sol 1x200 ml</v>
          </cell>
          <cell r="F200">
            <v>30091</v>
          </cell>
          <cell r="G200">
            <v>1568394.9</v>
          </cell>
          <cell r="H200">
            <v>0</v>
          </cell>
          <cell r="I200" t="str">
            <v>1q2008</v>
          </cell>
        </row>
        <row r="201">
          <cell r="A201" t="str">
            <v>D0219</v>
          </cell>
          <cell r="B201" t="str">
            <v>DP02C</v>
          </cell>
          <cell r="C201" t="str">
            <v>DP0</v>
          </cell>
          <cell r="D201" t="str">
            <v>ENSURE PLUS, jahodová príchuť</v>
          </cell>
          <cell r="E201" t="str">
            <v>sol 1x200 ml</v>
          </cell>
          <cell r="F201">
            <v>28879</v>
          </cell>
          <cell r="G201">
            <v>1506392.7</v>
          </cell>
          <cell r="H201">
            <v>0</v>
          </cell>
          <cell r="I201" t="str">
            <v>1q2008</v>
          </cell>
        </row>
        <row r="202">
          <cell r="A202" t="str">
            <v>D0220</v>
          </cell>
          <cell r="B202" t="str">
            <v>DP02C</v>
          </cell>
          <cell r="C202" t="str">
            <v>DP0</v>
          </cell>
          <cell r="D202" t="str">
            <v>ENSURE PLUS  jogurt, broskyňová príchuť</v>
          </cell>
          <cell r="E202" t="str">
            <v>sol 1x220 ml</v>
          </cell>
          <cell r="F202">
            <v>15801</v>
          </cell>
          <cell r="G202">
            <v>910280.7</v>
          </cell>
          <cell r="H202">
            <v>0</v>
          </cell>
          <cell r="I202" t="str">
            <v>1q2008</v>
          </cell>
        </row>
        <row r="203">
          <cell r="A203" t="str">
            <v>D0221</v>
          </cell>
          <cell r="B203" t="str">
            <v>DP02C</v>
          </cell>
          <cell r="C203" t="str">
            <v>DP0</v>
          </cell>
          <cell r="D203" t="str">
            <v>ENSURE PLUS jogurt, pomarančová príchuť</v>
          </cell>
          <cell r="E203" t="str">
            <v>sol 1x220 ml</v>
          </cell>
          <cell r="F203">
            <v>6763</v>
          </cell>
          <cell r="G203">
            <v>389412.5</v>
          </cell>
          <cell r="H203">
            <v>0</v>
          </cell>
          <cell r="I203" t="str">
            <v>1q2008</v>
          </cell>
        </row>
        <row r="204">
          <cell r="B204" t="str">
            <v>DP02C Celkom</v>
          </cell>
          <cell r="F204">
            <v>81534</v>
          </cell>
          <cell r="G204">
            <v>4374480.8</v>
          </cell>
          <cell r="H204">
            <v>0</v>
          </cell>
        </row>
        <row r="205">
          <cell r="A205" t="str">
            <v>D0228</v>
          </cell>
          <cell r="B205" t="str">
            <v>DP03A</v>
          </cell>
          <cell r="C205" t="str">
            <v>DP0</v>
          </cell>
          <cell r="D205" t="str">
            <v>Humana HA 2</v>
          </cell>
          <cell r="E205" t="str">
            <v>plv 1x650 g</v>
          </cell>
          <cell r="F205">
            <v>327</v>
          </cell>
          <cell r="G205">
            <v>68438.399999999994</v>
          </cell>
          <cell r="H205">
            <v>73311.8</v>
          </cell>
          <cell r="I205" t="str">
            <v>1q2008</v>
          </cell>
        </row>
        <row r="206">
          <cell r="A206" t="str">
            <v>D0229</v>
          </cell>
          <cell r="B206" t="str">
            <v>DP03A</v>
          </cell>
          <cell r="C206" t="str">
            <v>DP0</v>
          </cell>
          <cell r="D206" t="str">
            <v>Humana HA 1</v>
          </cell>
          <cell r="E206" t="str">
            <v>plv 1x650 g</v>
          </cell>
          <cell r="F206">
            <v>624</v>
          </cell>
          <cell r="G206">
            <v>130414.3</v>
          </cell>
          <cell r="H206">
            <v>146727.6</v>
          </cell>
          <cell r="I206" t="str">
            <v>1q2008</v>
          </cell>
        </row>
        <row r="207">
          <cell r="B207" t="str">
            <v>DP03A Celkom</v>
          </cell>
          <cell r="F207">
            <v>951</v>
          </cell>
          <cell r="G207">
            <v>198852.7</v>
          </cell>
          <cell r="H207">
            <v>220039.40000000002</v>
          </cell>
        </row>
        <row r="208">
          <cell r="A208" t="str">
            <v>D0230</v>
          </cell>
          <cell r="B208" t="str">
            <v>DP03D</v>
          </cell>
          <cell r="C208" t="str">
            <v>DP0</v>
          </cell>
          <cell r="D208" t="str">
            <v>NUTRILON 2 PEPTI</v>
          </cell>
          <cell r="E208" t="str">
            <v>plv 1x450 g</v>
          </cell>
          <cell r="F208">
            <v>4116</v>
          </cell>
          <cell r="G208">
            <v>933346.5</v>
          </cell>
          <cell r="H208">
            <v>440864.6</v>
          </cell>
          <cell r="I208" t="str">
            <v>1q2008</v>
          </cell>
        </row>
        <row r="209">
          <cell r="B209" t="str">
            <v>DP03D Celkom</v>
          </cell>
          <cell r="F209">
            <v>4116</v>
          </cell>
          <cell r="G209">
            <v>933346.5</v>
          </cell>
          <cell r="H209">
            <v>440864.6</v>
          </cell>
        </row>
        <row r="210">
          <cell r="A210" t="str">
            <v>D0235</v>
          </cell>
          <cell r="B210" t="str">
            <v>DP03C</v>
          </cell>
          <cell r="C210" t="str">
            <v>DP0</v>
          </cell>
          <cell r="D210" t="str">
            <v>HUMANA AR</v>
          </cell>
          <cell r="E210" t="str">
            <v>plv 1x400 g</v>
          </cell>
          <cell r="F210">
            <v>1852</v>
          </cell>
          <cell r="G210">
            <v>254143.2</v>
          </cell>
          <cell r="H210">
            <v>168786.7</v>
          </cell>
          <cell r="I210" t="str">
            <v>1q2008</v>
          </cell>
        </row>
        <row r="211">
          <cell r="B211" t="str">
            <v>DP03C Celkom</v>
          </cell>
          <cell r="F211">
            <v>1852</v>
          </cell>
          <cell r="G211">
            <v>254143.2</v>
          </cell>
          <cell r="H211">
            <v>168786.7</v>
          </cell>
        </row>
        <row r="212">
          <cell r="A212" t="str">
            <v>D0236</v>
          </cell>
          <cell r="B212" t="str">
            <v>DP03H</v>
          </cell>
          <cell r="C212" t="str">
            <v>DP0</v>
          </cell>
          <cell r="D212" t="str">
            <v>BEBA ALPRÉM</v>
          </cell>
          <cell r="E212" t="str">
            <v>plv 1x400 g</v>
          </cell>
          <cell r="F212">
            <v>296</v>
          </cell>
          <cell r="G212">
            <v>77273.5</v>
          </cell>
          <cell r="H212">
            <v>51259.9</v>
          </cell>
          <cell r="I212" t="str">
            <v>1q2008</v>
          </cell>
        </row>
        <row r="213">
          <cell r="B213" t="str">
            <v>DP03H Celkom</v>
          </cell>
          <cell r="F213">
            <v>296</v>
          </cell>
          <cell r="G213">
            <v>77273.5</v>
          </cell>
          <cell r="H213">
            <v>51259.9</v>
          </cell>
        </row>
        <row r="214">
          <cell r="A214" t="str">
            <v>D0238</v>
          </cell>
          <cell r="B214" t="str">
            <v>DP02A</v>
          </cell>
          <cell r="C214" t="str">
            <v>DP0</v>
          </cell>
          <cell r="D214" t="str">
            <v>Clinutren OPTIMUM VANILLA</v>
          </cell>
          <cell r="E214" t="str">
            <v>plv 1x400 g</v>
          </cell>
          <cell r="F214">
            <v>27</v>
          </cell>
          <cell r="G214">
            <v>5189.3999999999996</v>
          </cell>
          <cell r="H214">
            <v>1618.9</v>
          </cell>
          <cell r="I214" t="str">
            <v>1q2008</v>
          </cell>
        </row>
        <row r="215">
          <cell r="B215" t="str">
            <v>DP02A Celkom</v>
          </cell>
          <cell r="F215">
            <v>27</v>
          </cell>
          <cell r="G215">
            <v>5189.3999999999996</v>
          </cell>
          <cell r="H215">
            <v>1618.9</v>
          </cell>
        </row>
        <row r="216">
          <cell r="A216" t="str">
            <v>D0239</v>
          </cell>
          <cell r="B216" t="str">
            <v>DP02B</v>
          </cell>
          <cell r="C216" t="str">
            <v>DP0</v>
          </cell>
          <cell r="D216" t="str">
            <v>Clinutren FIBRE VANILLA</v>
          </cell>
          <cell r="E216" t="str">
            <v>plv 1x400 g</v>
          </cell>
          <cell r="F216">
            <v>8</v>
          </cell>
          <cell r="G216">
            <v>2404.6</v>
          </cell>
          <cell r="H216">
            <v>477.8</v>
          </cell>
          <cell r="I216" t="str">
            <v>1q2008</v>
          </cell>
        </row>
        <row r="217">
          <cell r="B217" t="str">
            <v>DP02B Celkom</v>
          </cell>
          <cell r="F217">
            <v>8</v>
          </cell>
          <cell r="G217">
            <v>2404.6</v>
          </cell>
          <cell r="H217">
            <v>477.8</v>
          </cell>
        </row>
        <row r="218">
          <cell r="A218" t="str">
            <v>D0242</v>
          </cell>
          <cell r="B218" t="str">
            <v>DP02E</v>
          </cell>
          <cell r="C218" t="str">
            <v>DP0</v>
          </cell>
          <cell r="D218" t="str">
            <v>PEPTAMEN VANILLA</v>
          </cell>
          <cell r="E218" t="str">
            <v>plv 1x430 g</v>
          </cell>
          <cell r="F218">
            <v>292</v>
          </cell>
          <cell r="G218">
            <v>184006.56</v>
          </cell>
          <cell r="H218">
            <v>0</v>
          </cell>
          <cell r="I218" t="str">
            <v>1q2008</v>
          </cell>
        </row>
        <row r="219">
          <cell r="A219" t="str">
            <v>D0243</v>
          </cell>
          <cell r="B219" t="str">
            <v>DP02E</v>
          </cell>
          <cell r="C219" t="str">
            <v>DP0</v>
          </cell>
          <cell r="D219" t="str">
            <v>PEPTAMEN JUNIOR VANILLA</v>
          </cell>
          <cell r="E219" t="str">
            <v>plv 1x400 g</v>
          </cell>
          <cell r="F219">
            <v>28</v>
          </cell>
          <cell r="G219">
            <v>17538.7</v>
          </cell>
          <cell r="H219">
            <v>0</v>
          </cell>
          <cell r="I219" t="str">
            <v>1q2008</v>
          </cell>
        </row>
        <row r="220">
          <cell r="B220" t="str">
            <v>DP02E Celkom</v>
          </cell>
          <cell r="F220">
            <v>320</v>
          </cell>
          <cell r="G220">
            <v>201545.26</v>
          </cell>
          <cell r="H220">
            <v>0</v>
          </cell>
        </row>
        <row r="221">
          <cell r="A221" t="str">
            <v>D0244</v>
          </cell>
          <cell r="B221" t="str">
            <v>DP02J</v>
          </cell>
          <cell r="C221" t="str">
            <v>DP0</v>
          </cell>
          <cell r="D221" t="str">
            <v>MODULEN IBD</v>
          </cell>
          <cell r="E221" t="str">
            <v>plv 1x400 g</v>
          </cell>
          <cell r="F221">
            <v>222</v>
          </cell>
          <cell r="G221">
            <v>137335.79999999999</v>
          </cell>
          <cell r="H221">
            <v>0</v>
          </cell>
          <cell r="I221" t="str">
            <v>1q2008</v>
          </cell>
        </row>
        <row r="222">
          <cell r="B222" t="str">
            <v>DP02J Celkom</v>
          </cell>
          <cell r="F222">
            <v>222</v>
          </cell>
          <cell r="G222">
            <v>137335.79999999999</v>
          </cell>
          <cell r="H222">
            <v>0</v>
          </cell>
        </row>
        <row r="223">
          <cell r="A223" t="str">
            <v>D0245</v>
          </cell>
          <cell r="B223" t="str">
            <v>DP01A</v>
          </cell>
          <cell r="C223" t="str">
            <v>DP0</v>
          </cell>
          <cell r="D223" t="str">
            <v>SinPhe basic</v>
          </cell>
          <cell r="E223" t="str">
            <v>plv 1x500 g</v>
          </cell>
          <cell r="F223">
            <v>30</v>
          </cell>
          <cell r="G223">
            <v>145886.39999999999</v>
          </cell>
          <cell r="H223">
            <v>0</v>
          </cell>
          <cell r="I223" t="str">
            <v>1q2008</v>
          </cell>
        </row>
        <row r="224">
          <cell r="B224" t="str">
            <v>DP01A Celkom</v>
          </cell>
          <cell r="F224">
            <v>30</v>
          </cell>
          <cell r="G224">
            <v>145886.39999999999</v>
          </cell>
          <cell r="H224">
            <v>0</v>
          </cell>
        </row>
        <row r="225">
          <cell r="A225" t="str">
            <v>D0246</v>
          </cell>
          <cell r="B225" t="str">
            <v>DP03F</v>
          </cell>
          <cell r="C225" t="str">
            <v>DP0</v>
          </cell>
          <cell r="D225" t="str">
            <v>NEOCATE ADVANCE</v>
          </cell>
          <cell r="E225" t="str">
            <v>plv 1x400 g</v>
          </cell>
          <cell r="F225">
            <v>667</v>
          </cell>
          <cell r="G225">
            <v>1481251.9</v>
          </cell>
          <cell r="H225">
            <v>81390.2</v>
          </cell>
          <cell r="I225" t="str">
            <v>1q2008</v>
          </cell>
        </row>
        <row r="226">
          <cell r="B226" t="str">
            <v>DP03F Celkom</v>
          </cell>
          <cell r="F226">
            <v>667</v>
          </cell>
          <cell r="G226">
            <v>1481251.9</v>
          </cell>
          <cell r="H226">
            <v>81390.2</v>
          </cell>
        </row>
        <row r="227">
          <cell r="A227" t="str">
            <v>D0247</v>
          </cell>
          <cell r="B227" t="str">
            <v>DP01G</v>
          </cell>
          <cell r="C227" t="str">
            <v>DP0</v>
          </cell>
          <cell r="D227" t="str">
            <v>MILUPA OS 2</v>
          </cell>
          <cell r="E227" t="str">
            <v>plv 1x500 g</v>
          </cell>
          <cell r="F227">
            <v>1</v>
          </cell>
          <cell r="G227">
            <v>5988.1</v>
          </cell>
          <cell r="H227">
            <v>0</v>
          </cell>
          <cell r="I227" t="str">
            <v>1q2008</v>
          </cell>
        </row>
        <row r="228">
          <cell r="B228" t="str">
            <v>DP01G Celkom</v>
          </cell>
          <cell r="F228">
            <v>1</v>
          </cell>
          <cell r="G228">
            <v>5988.1</v>
          </cell>
          <cell r="H228">
            <v>0</v>
          </cell>
        </row>
        <row r="229">
          <cell r="A229" t="str">
            <v>D0249</v>
          </cell>
          <cell r="B229" t="str">
            <v>DP01A</v>
          </cell>
          <cell r="C229" t="str">
            <v>DP0</v>
          </cell>
          <cell r="D229" t="str">
            <v>EASIPHEN – pomaranč</v>
          </cell>
          <cell r="E229" t="str">
            <v>sol 1x250 ml</v>
          </cell>
          <cell r="F229">
            <v>28</v>
          </cell>
          <cell r="G229">
            <v>17500</v>
          </cell>
          <cell r="H229">
            <v>0</v>
          </cell>
          <cell r="I229" t="str">
            <v>1q2008</v>
          </cell>
        </row>
        <row r="230">
          <cell r="A230" t="str">
            <v>D0250</v>
          </cell>
          <cell r="B230" t="str">
            <v>DP01A</v>
          </cell>
          <cell r="C230" t="str">
            <v>DP0</v>
          </cell>
          <cell r="D230" t="str">
            <v>EASIPHEN lesné plody</v>
          </cell>
          <cell r="E230" t="str">
            <v>sol 1x250 ml</v>
          </cell>
          <cell r="F230">
            <v>238</v>
          </cell>
          <cell r="G230">
            <v>148368.79999999999</v>
          </cell>
          <cell r="H230">
            <v>191.6</v>
          </cell>
          <cell r="I230" t="str">
            <v>1q2008</v>
          </cell>
        </row>
        <row r="231">
          <cell r="B231" t="str">
            <v>DP01A Celkom</v>
          </cell>
          <cell r="F231">
            <v>266</v>
          </cell>
          <cell r="G231">
            <v>165868.79999999999</v>
          </cell>
          <cell r="H231">
            <v>191.6</v>
          </cell>
        </row>
        <row r="232">
          <cell r="A232" t="str">
            <v>D0251</v>
          </cell>
          <cell r="B232" t="str">
            <v>DP01J</v>
          </cell>
          <cell r="C232" t="str">
            <v>DP0</v>
          </cell>
          <cell r="D232" t="str">
            <v>Chlieb bezlepkový tmavý (trvanlivý)</v>
          </cell>
          <cell r="E232" t="str">
            <v>1x360 g</v>
          </cell>
          <cell r="F232">
            <v>657</v>
          </cell>
          <cell r="G232">
            <v>37991.4</v>
          </cell>
          <cell r="H232">
            <v>29520</v>
          </cell>
          <cell r="I232" t="str">
            <v>1q2008</v>
          </cell>
        </row>
        <row r="233">
          <cell r="A233" t="str">
            <v>D0252</v>
          </cell>
          <cell r="B233" t="str">
            <v>DP01J</v>
          </cell>
          <cell r="C233" t="str">
            <v>DP0</v>
          </cell>
          <cell r="D233" t="str">
            <v>Limky -diétne keksy vanilkové máčané (bezlepkové)</v>
          </cell>
          <cell r="E233" t="str">
            <v>1x150 g</v>
          </cell>
          <cell r="F233">
            <v>464</v>
          </cell>
          <cell r="G233">
            <v>7600.3</v>
          </cell>
          <cell r="H233">
            <v>23882.5</v>
          </cell>
          <cell r="I233" t="str">
            <v>1q2008</v>
          </cell>
        </row>
        <row r="234">
          <cell r="A234" t="str">
            <v>D0253</v>
          </cell>
          <cell r="B234" t="str">
            <v>DP01J</v>
          </cell>
          <cell r="C234" t="str">
            <v>DP0</v>
          </cell>
          <cell r="D234" t="str">
            <v>Limky -diétne keksy kakaové plnené (bezlepkové)</v>
          </cell>
          <cell r="E234" t="str">
            <v>1x150 g</v>
          </cell>
          <cell r="F234">
            <v>645</v>
          </cell>
          <cell r="G234">
            <v>10580.5</v>
          </cell>
          <cell r="H234">
            <v>33150.9</v>
          </cell>
          <cell r="I234" t="str">
            <v>1q2008</v>
          </cell>
        </row>
        <row r="235">
          <cell r="A235" t="str">
            <v>D0254</v>
          </cell>
          <cell r="B235" t="str">
            <v>DP01J</v>
          </cell>
          <cell r="C235" t="str">
            <v>DP0</v>
          </cell>
          <cell r="D235" t="str">
            <v>Strúhanka bezlepková pečivová</v>
          </cell>
          <cell r="E235" t="str">
            <v>plv 1x350 g</v>
          </cell>
          <cell r="F235">
            <v>3279</v>
          </cell>
          <cell r="G235">
            <v>140334.67000000001</v>
          </cell>
          <cell r="H235">
            <v>158318.79999999999</v>
          </cell>
          <cell r="I235" t="str">
            <v>1q2008</v>
          </cell>
        </row>
        <row r="236">
          <cell r="B236" t="str">
            <v>DP01J Celkom</v>
          </cell>
          <cell r="F236">
            <v>5045</v>
          </cell>
          <cell r="G236">
            <v>196506.87000000002</v>
          </cell>
          <cell r="H236">
            <v>244872.19999999998</v>
          </cell>
        </row>
        <row r="237">
          <cell r="A237" t="str">
            <v>D0255</v>
          </cell>
          <cell r="B237" t="str">
            <v>DP02D</v>
          </cell>
          <cell r="C237" t="str">
            <v>DP0</v>
          </cell>
          <cell r="D237" t="str">
            <v>ENRICH PLUS, príchuť malín</v>
          </cell>
          <cell r="E237" t="str">
            <v>sol 1x200 ml</v>
          </cell>
          <cell r="F237">
            <v>18906</v>
          </cell>
          <cell r="G237">
            <v>991021.4</v>
          </cell>
          <cell r="H237">
            <v>0</v>
          </cell>
          <cell r="I237" t="str">
            <v>1q2008</v>
          </cell>
        </row>
        <row r="238">
          <cell r="B238" t="str">
            <v>DP02D Celkom</v>
          </cell>
          <cell r="F238">
            <v>18906</v>
          </cell>
          <cell r="G238">
            <v>991021.4</v>
          </cell>
          <cell r="H238">
            <v>0</v>
          </cell>
        </row>
        <row r="239">
          <cell r="A239" t="str">
            <v>D0256</v>
          </cell>
          <cell r="B239" t="str">
            <v>DP01J</v>
          </cell>
          <cell r="C239" t="str">
            <v>DP0</v>
          </cell>
          <cell r="D239" t="str">
            <v>Cícerová múka instantná</v>
          </cell>
          <cell r="E239" t="str">
            <v>plv 1x500 g</v>
          </cell>
          <cell r="F239">
            <v>22</v>
          </cell>
          <cell r="G239">
            <v>1057.7</v>
          </cell>
          <cell r="H239">
            <v>941.6</v>
          </cell>
          <cell r="I239" t="str">
            <v>1q2008</v>
          </cell>
        </row>
        <row r="240">
          <cell r="B240" t="str">
            <v>DP01J Celkom</v>
          </cell>
          <cell r="F240">
            <v>22</v>
          </cell>
          <cell r="G240">
            <v>1057.7</v>
          </cell>
          <cell r="H240">
            <v>941.6</v>
          </cell>
        </row>
        <row r="241">
          <cell r="A241" t="str">
            <v>D0257</v>
          </cell>
          <cell r="B241" t="str">
            <v>DP03A</v>
          </cell>
          <cell r="C241" t="str">
            <v>DP0</v>
          </cell>
          <cell r="D241" t="str">
            <v>Nutrilon 2 Comfort</v>
          </cell>
          <cell r="E241" t="str">
            <v>plv 1x400 g</v>
          </cell>
          <cell r="F241">
            <v>344</v>
          </cell>
          <cell r="G241">
            <v>57106.400000000001</v>
          </cell>
          <cell r="H241">
            <v>47171.3</v>
          </cell>
          <cell r="I241" t="str">
            <v>1q2008</v>
          </cell>
        </row>
        <row r="242">
          <cell r="A242" t="str">
            <v>D0258</v>
          </cell>
          <cell r="B242" t="str">
            <v>DP03A</v>
          </cell>
          <cell r="C242" t="str">
            <v>DP0</v>
          </cell>
          <cell r="D242" t="str">
            <v>Nutrilon 1 Comfort</v>
          </cell>
          <cell r="E242" t="str">
            <v>plv 1x400 g</v>
          </cell>
          <cell r="F242">
            <v>525</v>
          </cell>
          <cell r="G242">
            <v>86524.6</v>
          </cell>
          <cell r="H242">
            <v>77451.5</v>
          </cell>
          <cell r="I242" t="str">
            <v>1q2008</v>
          </cell>
        </row>
        <row r="243">
          <cell r="A243" t="str">
            <v>D0259</v>
          </cell>
          <cell r="B243" t="str">
            <v>DP03A</v>
          </cell>
          <cell r="C243" t="str">
            <v>DP0</v>
          </cell>
          <cell r="D243" t="str">
            <v>Hami 2 HA</v>
          </cell>
          <cell r="E243" t="str">
            <v>plv 1x300 g</v>
          </cell>
          <cell r="F243">
            <v>527</v>
          </cell>
          <cell r="G243">
            <v>65613</v>
          </cell>
          <cell r="H243">
            <v>48786.5</v>
          </cell>
          <cell r="I243" t="str">
            <v>1q2008</v>
          </cell>
        </row>
        <row r="244">
          <cell r="A244" t="str">
            <v>D0260</v>
          </cell>
          <cell r="B244" t="str">
            <v>DP03A</v>
          </cell>
          <cell r="C244" t="str">
            <v>DP0</v>
          </cell>
          <cell r="D244" t="str">
            <v>Hami 1  HA</v>
          </cell>
          <cell r="E244" t="str">
            <v>plv 1x300 g</v>
          </cell>
          <cell r="F244">
            <v>121</v>
          </cell>
          <cell r="G244">
            <v>13994.8</v>
          </cell>
          <cell r="H244">
            <v>9498.2999999999993</v>
          </cell>
          <cell r="I244" t="str">
            <v>1q2008</v>
          </cell>
        </row>
        <row r="245">
          <cell r="B245" t="str">
            <v>DP03A Celkom</v>
          </cell>
          <cell r="F245">
            <v>1517</v>
          </cell>
          <cell r="G245">
            <v>223238.8</v>
          </cell>
          <cell r="H245">
            <v>182907.59999999998</v>
          </cell>
        </row>
        <row r="246">
          <cell r="A246" t="str">
            <v>D0261</v>
          </cell>
          <cell r="B246" t="str">
            <v>DP01A</v>
          </cell>
          <cell r="C246" t="str">
            <v>DP0</v>
          </cell>
          <cell r="D246" t="str">
            <v>MILUPA lp-drink s čokoládovou príchuťou</v>
          </cell>
          <cell r="E246" t="str">
            <v>1 x 320 g</v>
          </cell>
          <cell r="F246">
            <v>12</v>
          </cell>
          <cell r="G246">
            <v>4377.6000000000004</v>
          </cell>
          <cell r="H246">
            <v>1821.6</v>
          </cell>
          <cell r="I246" t="str">
            <v>1q2008</v>
          </cell>
        </row>
        <row r="247">
          <cell r="A247" t="str">
            <v>D0262</v>
          </cell>
          <cell r="B247" t="str">
            <v>DP01A</v>
          </cell>
          <cell r="C247" t="str">
            <v>DP0</v>
          </cell>
          <cell r="D247" t="str">
            <v>MILUPA PKU 3 advanta   </v>
          </cell>
          <cell r="E247" t="str">
            <v>plv 1x500 g</v>
          </cell>
          <cell r="F247">
            <v>194</v>
          </cell>
          <cell r="G247">
            <v>1437687.6</v>
          </cell>
          <cell r="H247">
            <v>0</v>
          </cell>
          <cell r="I247" t="str">
            <v>1q2008</v>
          </cell>
        </row>
        <row r="248">
          <cell r="A248" t="str">
            <v>D0263</v>
          </cell>
          <cell r="B248" t="str">
            <v>DP01A</v>
          </cell>
          <cell r="C248" t="str">
            <v>DP0</v>
          </cell>
          <cell r="D248" t="str">
            <v>MILUPA PKU 3 activa rajčinová</v>
          </cell>
          <cell r="E248" t="str">
            <v>plv 1x45 g</v>
          </cell>
          <cell r="F248">
            <v>40</v>
          </cell>
          <cell r="G248">
            <v>17996</v>
          </cell>
          <cell r="H248">
            <v>440</v>
          </cell>
          <cell r="I248" t="str">
            <v>1q2008</v>
          </cell>
        </row>
        <row r="249">
          <cell r="A249" t="str">
            <v>D0264</v>
          </cell>
          <cell r="B249" t="str">
            <v>DP01A</v>
          </cell>
          <cell r="C249" t="str">
            <v>DP0</v>
          </cell>
          <cell r="D249" t="str">
            <v>MILUPA PKU 2 activa rajčinová     </v>
          </cell>
          <cell r="E249" t="str">
            <v>plv 1x45 g</v>
          </cell>
          <cell r="F249">
            <v>20</v>
          </cell>
          <cell r="G249">
            <v>8998</v>
          </cell>
          <cell r="H249">
            <v>220</v>
          </cell>
          <cell r="I249" t="str">
            <v>1q2008</v>
          </cell>
        </row>
        <row r="250">
          <cell r="A250" t="str">
            <v>D0265</v>
          </cell>
          <cell r="B250" t="str">
            <v>DP01A</v>
          </cell>
          <cell r="C250" t="str">
            <v>DP0</v>
          </cell>
          <cell r="D250" t="str">
            <v>MILUPA PKU 2 secunda      </v>
          </cell>
          <cell r="E250" t="str">
            <v>plv 1x500 g</v>
          </cell>
          <cell r="F250">
            <v>144</v>
          </cell>
          <cell r="G250">
            <v>969628</v>
          </cell>
          <cell r="H250">
            <v>0</v>
          </cell>
          <cell r="I250" t="str">
            <v>1q2008</v>
          </cell>
        </row>
        <row r="251">
          <cell r="A251" t="str">
            <v>D0266</v>
          </cell>
          <cell r="B251" t="str">
            <v>DP01A</v>
          </cell>
          <cell r="C251" t="str">
            <v>DP0</v>
          </cell>
          <cell r="D251" t="str">
            <v>EASIPHEN – tropické ovocie</v>
          </cell>
          <cell r="E251" t="str">
            <v>sol 1x250 ml</v>
          </cell>
          <cell r="F251">
            <v>40</v>
          </cell>
          <cell r="G251">
            <v>25000</v>
          </cell>
          <cell r="H251">
            <v>0</v>
          </cell>
          <cell r="I251" t="str">
            <v>1q2008</v>
          </cell>
        </row>
        <row r="252">
          <cell r="A252" t="str">
            <v>D0267</v>
          </cell>
          <cell r="B252" t="str">
            <v>DP01A</v>
          </cell>
          <cell r="C252" t="str">
            <v>DP0</v>
          </cell>
          <cell r="D252" t="str">
            <v>MILUPA PKU 2 prima</v>
          </cell>
          <cell r="E252" t="str">
            <v>plv 1x500 g</v>
          </cell>
          <cell r="F252">
            <v>100</v>
          </cell>
          <cell r="G252">
            <v>556314.80000000005</v>
          </cell>
          <cell r="H252">
            <v>0</v>
          </cell>
          <cell r="I252" t="str">
            <v>1q2008</v>
          </cell>
        </row>
        <row r="253">
          <cell r="A253" t="str">
            <v>D0269</v>
          </cell>
          <cell r="B253" t="str">
            <v>DP01A</v>
          </cell>
          <cell r="C253" t="str">
            <v>DP0</v>
          </cell>
          <cell r="D253" t="str">
            <v>LOPHLEX lesné ovocie</v>
          </cell>
          <cell r="E253" t="str">
            <v>plv 1x27,8 g</v>
          </cell>
          <cell r="F253">
            <v>30</v>
          </cell>
          <cell r="G253">
            <v>20376</v>
          </cell>
          <cell r="H253">
            <v>54</v>
          </cell>
          <cell r="I253" t="str">
            <v>1q2008</v>
          </cell>
        </row>
        <row r="254">
          <cell r="A254" t="str">
            <v>D0270</v>
          </cell>
          <cell r="B254" t="str">
            <v>DP01A</v>
          </cell>
          <cell r="C254" t="str">
            <v>DP0</v>
          </cell>
          <cell r="D254" t="str">
            <v>LOPHLEX</v>
          </cell>
          <cell r="E254" t="str">
            <v>plv 1x27,8 g</v>
          </cell>
          <cell r="F254">
            <v>30</v>
          </cell>
          <cell r="G254">
            <v>20376</v>
          </cell>
          <cell r="H254">
            <v>54</v>
          </cell>
          <cell r="I254" t="str">
            <v>1q2008</v>
          </cell>
        </row>
        <row r="255">
          <cell r="B255" t="str">
            <v>DP01A Celkom</v>
          </cell>
          <cell r="F255">
            <v>610</v>
          </cell>
          <cell r="G255">
            <v>3060754</v>
          </cell>
          <cell r="H255">
            <v>2589.6</v>
          </cell>
        </row>
        <row r="256">
          <cell r="A256" t="str">
            <v>D0271</v>
          </cell>
          <cell r="B256" t="str">
            <v>DP01J</v>
          </cell>
          <cell r="C256" t="str">
            <v>DP0</v>
          </cell>
          <cell r="D256" t="str">
            <v>Linia natural</v>
          </cell>
          <cell r="E256" t="str">
            <v>375 g</v>
          </cell>
          <cell r="F256">
            <v>7</v>
          </cell>
          <cell r="G256">
            <v>262.5</v>
          </cell>
          <cell r="H256">
            <v>423.4</v>
          </cell>
          <cell r="I256" t="str">
            <v>1q2008</v>
          </cell>
        </row>
        <row r="257">
          <cell r="A257" t="str">
            <v>D0272</v>
          </cell>
          <cell r="B257" t="str">
            <v>DP01J</v>
          </cell>
          <cell r="C257" t="str">
            <v>DP0</v>
          </cell>
          <cell r="D257" t="str">
            <v>Knedľa bezlepková v prášku</v>
          </cell>
          <cell r="E257" t="str">
            <v>plv 250 g</v>
          </cell>
          <cell r="F257">
            <v>722</v>
          </cell>
          <cell r="G257">
            <v>16960.5</v>
          </cell>
          <cell r="H257">
            <v>11364.1</v>
          </cell>
          <cell r="I257" t="str">
            <v>1q2008</v>
          </cell>
        </row>
        <row r="258">
          <cell r="B258" t="str">
            <v>DP01J Celkom</v>
          </cell>
          <cell r="F258">
            <v>729</v>
          </cell>
          <cell r="G258">
            <v>17223</v>
          </cell>
          <cell r="H258">
            <v>11787.5</v>
          </cell>
        </row>
        <row r="259">
          <cell r="A259" t="str">
            <v>D0273</v>
          </cell>
          <cell r="B259" t="str">
            <v>DP01A</v>
          </cell>
          <cell r="C259" t="str">
            <v>DP0</v>
          </cell>
          <cell r="D259" t="str">
            <v>HARIFEN - nízkobielkovinové chrumkavé chlebíčky</v>
          </cell>
          <cell r="E259" t="str">
            <v>1 x 200 g</v>
          </cell>
          <cell r="F259">
            <v>5</v>
          </cell>
          <cell r="G259">
            <v>171</v>
          </cell>
          <cell r="H259">
            <v>870.3</v>
          </cell>
          <cell r="I259" t="str">
            <v>1q2008</v>
          </cell>
        </row>
        <row r="260">
          <cell r="A260" t="str">
            <v>D0275</v>
          </cell>
          <cell r="B260" t="str">
            <v>DP01A</v>
          </cell>
          <cell r="C260" t="str">
            <v>DP0</v>
          </cell>
          <cell r="D260" t="str">
            <v>HARIFEN - múka na nízkobielkoviný a bezlepkový chlieb a pečivo</v>
          </cell>
          <cell r="E260" t="str">
            <v>1 x 500 g</v>
          </cell>
          <cell r="F260">
            <v>5</v>
          </cell>
          <cell r="G260">
            <v>305</v>
          </cell>
          <cell r="H260">
            <v>673</v>
          </cell>
          <cell r="I260" t="str">
            <v>1q2008</v>
          </cell>
        </row>
        <row r="261">
          <cell r="A261" t="str">
            <v>D0276</v>
          </cell>
          <cell r="B261" t="str">
            <v>DP01A</v>
          </cell>
          <cell r="C261" t="str">
            <v>DP0</v>
          </cell>
          <cell r="D261" t="str">
            <v>HARIFEN - nízkobielkovinové sušienky s príchťou (kakao, vanilka,karamel)</v>
          </cell>
          <cell r="E261" t="str">
            <v>1 x 125g</v>
          </cell>
          <cell r="F261">
            <v>12</v>
          </cell>
          <cell r="G261">
            <v>692.1</v>
          </cell>
          <cell r="H261">
            <v>1277.2</v>
          </cell>
          <cell r="I261" t="str">
            <v>1q2008</v>
          </cell>
        </row>
        <row r="262">
          <cell r="B262" t="str">
            <v>DP01A Celkom</v>
          </cell>
          <cell r="F262">
            <v>22</v>
          </cell>
          <cell r="G262">
            <v>1168.0999999999999</v>
          </cell>
          <cell r="H262">
            <v>2820.5</v>
          </cell>
        </row>
        <row r="263">
          <cell r="A263" t="str">
            <v>D0278</v>
          </cell>
          <cell r="B263" t="str">
            <v>DP03H</v>
          </cell>
          <cell r="C263" t="str">
            <v>DP0</v>
          </cell>
          <cell r="D263" t="str">
            <v>Nutrilon 0 Nenatal</v>
          </cell>
          <cell r="E263" t="str">
            <v>plv 1x400 g</v>
          </cell>
          <cell r="F263">
            <v>249</v>
          </cell>
          <cell r="G263">
            <v>52791</v>
          </cell>
          <cell r="H263">
            <v>48782.400000000001</v>
          </cell>
          <cell r="I263" t="str">
            <v>1q2008</v>
          </cell>
        </row>
        <row r="264">
          <cell r="A264" t="str">
            <v>D0279</v>
          </cell>
          <cell r="B264" t="str">
            <v>DP03H</v>
          </cell>
          <cell r="C264" t="str">
            <v>DP0</v>
          </cell>
          <cell r="D264" t="str">
            <v>Nutrilon 1 Nenatal</v>
          </cell>
          <cell r="E264" t="str">
            <v>plv 1x400 g</v>
          </cell>
          <cell r="F264">
            <v>255</v>
          </cell>
          <cell r="G264">
            <v>54071</v>
          </cell>
          <cell r="H264">
            <v>53975.1</v>
          </cell>
          <cell r="I264" t="str">
            <v>1q2008</v>
          </cell>
        </row>
        <row r="265">
          <cell r="B265" t="str">
            <v>DP03H Celkom</v>
          </cell>
          <cell r="F265">
            <v>504</v>
          </cell>
          <cell r="G265">
            <v>106862</v>
          </cell>
          <cell r="H265">
            <v>102757.5</v>
          </cell>
        </row>
        <row r="266">
          <cell r="A266" t="str">
            <v>D0285</v>
          </cell>
          <cell r="B266" t="str">
            <v>DP01A</v>
          </cell>
          <cell r="C266" t="str">
            <v>DP0</v>
          </cell>
          <cell r="D266" t="str">
            <v>LOPROFIN low protein ryža</v>
          </cell>
          <cell r="E266" t="str">
            <v>1 x 500 g</v>
          </cell>
          <cell r="F266">
            <v>8</v>
          </cell>
          <cell r="G266">
            <v>1036</v>
          </cell>
          <cell r="H266">
            <v>1248</v>
          </cell>
          <cell r="I266" t="str">
            <v>1q2008</v>
          </cell>
        </row>
        <row r="267">
          <cell r="B267" t="str">
            <v>DP01A Celkom</v>
          </cell>
          <cell r="F267">
            <v>8</v>
          </cell>
          <cell r="G267">
            <v>1036</v>
          </cell>
          <cell r="H267">
            <v>1248</v>
          </cell>
        </row>
        <row r="268">
          <cell r="A268" t="str">
            <v>D0287</v>
          </cell>
          <cell r="B268" t="str">
            <v>DP03A</v>
          </cell>
          <cell r="C268" t="str">
            <v>DP0</v>
          </cell>
          <cell r="D268" t="str">
            <v>Humana HA 1</v>
          </cell>
          <cell r="E268" t="str">
            <v>plv 1x600 g</v>
          </cell>
          <cell r="F268">
            <v>1230</v>
          </cell>
          <cell r="G268">
            <v>250739</v>
          </cell>
          <cell r="H268">
            <v>296389</v>
          </cell>
          <cell r="I268" t="str">
            <v>1q2008</v>
          </cell>
        </row>
        <row r="269">
          <cell r="A269" t="str">
            <v>D0288</v>
          </cell>
          <cell r="B269" t="str">
            <v>DP03A</v>
          </cell>
          <cell r="C269" t="str">
            <v>DP0</v>
          </cell>
          <cell r="D269" t="str">
            <v>Humana HA 2</v>
          </cell>
          <cell r="E269" t="str">
            <v>plv 1x600 g</v>
          </cell>
          <cell r="F269">
            <v>1772</v>
          </cell>
          <cell r="G269">
            <v>351337.92</v>
          </cell>
          <cell r="H269">
            <v>410491.98</v>
          </cell>
          <cell r="I269" t="str">
            <v>1q2008</v>
          </cell>
        </row>
        <row r="270">
          <cell r="B270" t="str">
            <v>DP03A Celkom</v>
          </cell>
          <cell r="F270">
            <v>3002</v>
          </cell>
          <cell r="G270">
            <v>602076.91999999993</v>
          </cell>
          <cell r="H270">
            <v>706880.98</v>
          </cell>
        </row>
        <row r="271">
          <cell r="A271" t="str">
            <v>D0289</v>
          </cell>
          <cell r="B271" t="str">
            <v>DP01J</v>
          </cell>
          <cell r="C271" t="str">
            <v>DP0</v>
          </cell>
          <cell r="D271" t="str">
            <v>Bezgluténové musli</v>
          </cell>
          <cell r="E271" t="str">
            <v>375 g</v>
          </cell>
          <cell r="F271">
            <v>264</v>
          </cell>
          <cell r="G271">
            <v>9038.2999999999993</v>
          </cell>
          <cell r="H271">
            <v>33876.800000000003</v>
          </cell>
          <cell r="I271" t="str">
            <v>1q2008</v>
          </cell>
        </row>
        <row r="272">
          <cell r="A272" t="str">
            <v>D0290</v>
          </cell>
          <cell r="B272" t="str">
            <v>DP01J</v>
          </cell>
          <cell r="C272" t="str">
            <v>DP0</v>
          </cell>
          <cell r="D272" t="str">
            <v>Pan Carré - bezlepkový biely chlieb</v>
          </cell>
          <cell r="E272" t="str">
            <v>400 g</v>
          </cell>
          <cell r="F272">
            <v>3949</v>
          </cell>
          <cell r="G272">
            <v>237403.2</v>
          </cell>
          <cell r="H272">
            <v>254465</v>
          </cell>
          <cell r="I272" t="str">
            <v>1q2008</v>
          </cell>
        </row>
        <row r="273">
          <cell r="A273" t="str">
            <v>D0291</v>
          </cell>
          <cell r="B273" t="str">
            <v>DP01J</v>
          </cell>
          <cell r="C273" t="str">
            <v>DP0</v>
          </cell>
          <cell r="D273" t="str">
            <v>Rustico - bezlepkový plnozrnný chlieb</v>
          </cell>
          <cell r="E273" t="str">
            <v>400 g</v>
          </cell>
          <cell r="F273">
            <v>1502</v>
          </cell>
          <cell r="G273">
            <v>90693.2</v>
          </cell>
          <cell r="H273">
            <v>116287.7</v>
          </cell>
          <cell r="I273" t="str">
            <v>1q2008</v>
          </cell>
        </row>
        <row r="274">
          <cell r="A274" t="str">
            <v>D0292</v>
          </cell>
          <cell r="B274" t="str">
            <v>DP01J</v>
          </cell>
          <cell r="C274" t="str">
            <v>DP0</v>
          </cell>
          <cell r="D274" t="str">
            <v>Panini - bezlepkové biele žemle</v>
          </cell>
          <cell r="E274" t="str">
            <v>200 g</v>
          </cell>
          <cell r="F274">
            <v>1929</v>
          </cell>
          <cell r="G274">
            <v>57938.1</v>
          </cell>
          <cell r="H274">
            <v>105366.8</v>
          </cell>
          <cell r="I274" t="str">
            <v>1q2008</v>
          </cell>
        </row>
        <row r="275">
          <cell r="A275" t="str">
            <v>D0293</v>
          </cell>
          <cell r="B275" t="str">
            <v>DP01J</v>
          </cell>
          <cell r="C275" t="str">
            <v>DP0</v>
          </cell>
          <cell r="D275" t="str">
            <v>Bon Matin - bezlepkové sladké žemle</v>
          </cell>
          <cell r="E275" t="str">
            <v>200 g</v>
          </cell>
          <cell r="F275">
            <v>2760</v>
          </cell>
          <cell r="G275">
            <v>83013.8</v>
          </cell>
          <cell r="H275">
            <v>187740.79999999999</v>
          </cell>
          <cell r="I275" t="str">
            <v>1q2008</v>
          </cell>
        </row>
        <row r="276">
          <cell r="A276" t="str">
            <v>D0294</v>
          </cell>
          <cell r="B276" t="str">
            <v>DP01J</v>
          </cell>
          <cell r="C276" t="str">
            <v>DP0</v>
          </cell>
          <cell r="D276" t="str">
            <v>Spaghetti - bezlepkové cestoviny</v>
          </cell>
          <cell r="E276" t="str">
            <v>500 g</v>
          </cell>
          <cell r="F276">
            <v>1086</v>
          </cell>
          <cell r="G276">
            <v>81520</v>
          </cell>
          <cell r="H276">
            <v>71384</v>
          </cell>
          <cell r="I276" t="str">
            <v>1q2008</v>
          </cell>
        </row>
        <row r="277">
          <cell r="A277" t="str">
            <v>D0295</v>
          </cell>
          <cell r="B277" t="str">
            <v>DP01J</v>
          </cell>
          <cell r="C277" t="str">
            <v>DP0</v>
          </cell>
          <cell r="D277" t="str">
            <v>Fusilli - bezlepkové cestoviny</v>
          </cell>
          <cell r="E277" t="str">
            <v>500 g</v>
          </cell>
          <cell r="F277">
            <v>996</v>
          </cell>
          <cell r="G277">
            <v>75062.5</v>
          </cell>
          <cell r="H277">
            <v>65711.5</v>
          </cell>
          <cell r="I277" t="str">
            <v>1q2008</v>
          </cell>
        </row>
        <row r="278">
          <cell r="A278" t="str">
            <v>D0296</v>
          </cell>
          <cell r="B278" t="str">
            <v>DP01J</v>
          </cell>
          <cell r="C278" t="str">
            <v>DP0</v>
          </cell>
          <cell r="D278" t="str">
            <v>Quadritos - bezlepkové kakaové oblátky</v>
          </cell>
          <cell r="E278" t="str">
            <v>40 g</v>
          </cell>
          <cell r="F278">
            <v>300</v>
          </cell>
          <cell r="G278">
            <v>1318.1</v>
          </cell>
          <cell r="H278">
            <v>11526.8</v>
          </cell>
          <cell r="I278" t="str">
            <v>1q2008</v>
          </cell>
        </row>
        <row r="279">
          <cell r="A279" t="str">
            <v>D0297</v>
          </cell>
          <cell r="B279" t="str">
            <v>DP01J</v>
          </cell>
          <cell r="C279" t="str">
            <v>DP0</v>
          </cell>
          <cell r="D279" t="str">
            <v>Salinis - bezlepkové praclíky</v>
          </cell>
          <cell r="E279" t="str">
            <v>60 g</v>
          </cell>
          <cell r="F279">
            <v>939</v>
          </cell>
          <cell r="G279">
            <v>6170.8</v>
          </cell>
          <cell r="H279">
            <v>35985.300000000003</v>
          </cell>
          <cell r="I279" t="str">
            <v>1q2008</v>
          </cell>
        </row>
        <row r="280">
          <cell r="A280" t="str">
            <v>D0298</v>
          </cell>
          <cell r="B280" t="str">
            <v>DP01J</v>
          </cell>
          <cell r="C280" t="str">
            <v>DP0</v>
          </cell>
          <cell r="D280" t="str">
            <v>Mix B - bezlepková zmes na prípravu chleba</v>
          </cell>
          <cell r="E280" t="str">
            <v>plv 1000 g</v>
          </cell>
          <cell r="F280">
            <v>2825</v>
          </cell>
          <cell r="G280">
            <v>250746</v>
          </cell>
          <cell r="H280">
            <v>232281.7</v>
          </cell>
          <cell r="I280" t="str">
            <v>1q2008</v>
          </cell>
        </row>
        <row r="281">
          <cell r="A281" t="str">
            <v>D0299</v>
          </cell>
          <cell r="B281" t="str">
            <v>DP01J</v>
          </cell>
          <cell r="C281" t="str">
            <v>DP0</v>
          </cell>
          <cell r="D281" t="str">
            <v>Bezlepkové sušienky</v>
          </cell>
          <cell r="E281" t="str">
            <v>350 g</v>
          </cell>
          <cell r="F281">
            <v>356</v>
          </cell>
          <cell r="G281">
            <v>11805.5</v>
          </cell>
          <cell r="H281">
            <v>5536.5</v>
          </cell>
          <cell r="I281" t="str">
            <v>1q2008</v>
          </cell>
        </row>
        <row r="282">
          <cell r="B282" t="str">
            <v>DP01J Celkom</v>
          </cell>
          <cell r="F282">
            <v>16906</v>
          </cell>
          <cell r="G282">
            <v>904709.5</v>
          </cell>
          <cell r="H282">
            <v>1120162.9000000001</v>
          </cell>
        </row>
        <row r="283">
          <cell r="A283" t="str">
            <v>D0300</v>
          </cell>
          <cell r="B283" t="str">
            <v>DP02A</v>
          </cell>
          <cell r="C283" t="str">
            <v>DP0</v>
          </cell>
          <cell r="D283" t="str">
            <v>Osmeral basic</v>
          </cell>
          <cell r="E283" t="str">
            <v>plv 2x325 g</v>
          </cell>
          <cell r="F283">
            <v>197</v>
          </cell>
          <cell r="G283">
            <v>66006.3</v>
          </cell>
          <cell r="H283">
            <v>0</v>
          </cell>
          <cell r="I283" t="str">
            <v>1q2008</v>
          </cell>
        </row>
        <row r="284">
          <cell r="A284" t="str">
            <v>D0301</v>
          </cell>
          <cell r="B284" t="str">
            <v>DP02A</v>
          </cell>
          <cell r="C284" t="str">
            <v>DP0</v>
          </cell>
          <cell r="D284" t="str">
            <v>OSMERAL SN neutral</v>
          </cell>
          <cell r="E284" t="str">
            <v>sol 1x500 ml</v>
          </cell>
          <cell r="F284">
            <v>265</v>
          </cell>
          <cell r="G284">
            <v>25677.5</v>
          </cell>
          <cell r="H284">
            <v>10490.7</v>
          </cell>
          <cell r="I284" t="str">
            <v>1q2008</v>
          </cell>
        </row>
        <row r="285">
          <cell r="A285" t="str">
            <v>D0302</v>
          </cell>
          <cell r="B285" t="str">
            <v>DP02A</v>
          </cell>
          <cell r="C285" t="str">
            <v>DP0</v>
          </cell>
          <cell r="D285" t="str">
            <v>OSMERAL SN malina</v>
          </cell>
          <cell r="E285" t="str">
            <v>sol 1x500 ml</v>
          </cell>
          <cell r="F285">
            <v>149</v>
          </cell>
          <cell r="G285">
            <v>14433.8</v>
          </cell>
          <cell r="H285">
            <v>5894.9</v>
          </cell>
          <cell r="I285" t="str">
            <v>1q2008</v>
          </cell>
        </row>
        <row r="286">
          <cell r="A286" t="str">
            <v>D0303</v>
          </cell>
          <cell r="B286" t="str">
            <v>DP02A</v>
          </cell>
          <cell r="C286" t="str">
            <v>DP0</v>
          </cell>
          <cell r="D286" t="str">
            <v>OSMERAL SN banán</v>
          </cell>
          <cell r="E286" t="str">
            <v>sol 1x500 ml</v>
          </cell>
          <cell r="F286">
            <v>631</v>
          </cell>
          <cell r="G286">
            <v>60343.5</v>
          </cell>
          <cell r="H286">
            <v>24976.6</v>
          </cell>
          <cell r="I286" t="str">
            <v>1q2008</v>
          </cell>
        </row>
        <row r="287">
          <cell r="B287" t="str">
            <v>DP02A Celkom</v>
          </cell>
          <cell r="F287">
            <v>1242</v>
          </cell>
          <cell r="G287">
            <v>166461.1</v>
          </cell>
          <cell r="H287">
            <v>41362.199999999997</v>
          </cell>
        </row>
        <row r="288">
          <cell r="A288" t="str">
            <v>D0304</v>
          </cell>
          <cell r="B288" t="str">
            <v>DP02B</v>
          </cell>
          <cell r="C288" t="str">
            <v>DP0</v>
          </cell>
          <cell r="D288" t="str">
            <v>Osmeral BS</v>
          </cell>
          <cell r="E288" t="str">
            <v>sol 1x500 ml</v>
          </cell>
          <cell r="F288">
            <v>27</v>
          </cell>
          <cell r="G288">
            <v>2714</v>
          </cell>
          <cell r="H288">
            <v>985</v>
          </cell>
          <cell r="I288" t="str">
            <v>1q2008</v>
          </cell>
        </row>
        <row r="289">
          <cell r="A289" t="str">
            <v>D0305</v>
          </cell>
          <cell r="B289" t="str">
            <v>DP02B</v>
          </cell>
          <cell r="C289" t="str">
            <v>DP0</v>
          </cell>
          <cell r="D289" t="str">
            <v>Osmeral CS instant</v>
          </cell>
          <cell r="E289" t="str">
            <v>plv 2x177 g</v>
          </cell>
          <cell r="F289">
            <v>30</v>
          </cell>
          <cell r="G289">
            <v>8711.4</v>
          </cell>
          <cell r="H289">
            <v>172.8</v>
          </cell>
          <cell r="I289" t="str">
            <v>1q2008</v>
          </cell>
        </row>
        <row r="290">
          <cell r="B290" t="str">
            <v>DP02B Celkom</v>
          </cell>
          <cell r="F290">
            <v>57</v>
          </cell>
          <cell r="G290">
            <v>11425.4</v>
          </cell>
          <cell r="H290">
            <v>1157.8</v>
          </cell>
        </row>
        <row r="291">
          <cell r="A291" t="str">
            <v>D0306</v>
          </cell>
          <cell r="B291" t="str">
            <v>DP02C</v>
          </cell>
          <cell r="C291" t="str">
            <v>DP0</v>
          </cell>
          <cell r="D291" t="str">
            <v>Osmeral HC coffee cream</v>
          </cell>
          <cell r="E291" t="str">
            <v>sol 1x500 ml</v>
          </cell>
          <cell r="F291">
            <v>4620</v>
          </cell>
          <cell r="G291">
            <v>616435.5</v>
          </cell>
          <cell r="H291">
            <v>14113.5</v>
          </cell>
          <cell r="I291" t="str">
            <v>1q2008</v>
          </cell>
        </row>
        <row r="292">
          <cell r="B292" t="str">
            <v>DP02C Celkom</v>
          </cell>
          <cell r="F292">
            <v>4620</v>
          </cell>
          <cell r="G292">
            <v>616435.5</v>
          </cell>
          <cell r="H292">
            <v>14113.5</v>
          </cell>
        </row>
        <row r="293">
          <cell r="A293" t="str">
            <v>D0307</v>
          </cell>
          <cell r="B293" t="str">
            <v>DP02D</v>
          </cell>
          <cell r="C293" t="str">
            <v>DP0</v>
          </cell>
          <cell r="D293" t="str">
            <v>Osmeral complete tetra</v>
          </cell>
          <cell r="E293" t="str">
            <v>sol 1x470 ml</v>
          </cell>
          <cell r="F293">
            <v>1683</v>
          </cell>
          <cell r="G293">
            <v>206185.3</v>
          </cell>
          <cell r="H293">
            <v>10852.8</v>
          </cell>
          <cell r="I293" t="str">
            <v>1q2008</v>
          </cell>
        </row>
        <row r="294">
          <cell r="B294" t="str">
            <v>DP02D Celkom</v>
          </cell>
          <cell r="F294">
            <v>1683</v>
          </cell>
          <cell r="G294">
            <v>206185.3</v>
          </cell>
          <cell r="H294">
            <v>10852.8</v>
          </cell>
        </row>
        <row r="295">
          <cell r="A295" t="str">
            <v>D0312</v>
          </cell>
          <cell r="B295" t="str">
            <v>DP02F</v>
          </cell>
          <cell r="C295" t="str">
            <v>DP0</v>
          </cell>
          <cell r="D295" t="str">
            <v>Osmeral DS tetra</v>
          </cell>
          <cell r="E295" t="str">
            <v>sol 1x470 ml</v>
          </cell>
          <cell r="F295">
            <v>714</v>
          </cell>
          <cell r="G295">
            <v>109735.6</v>
          </cell>
          <cell r="H295">
            <v>0</v>
          </cell>
          <cell r="I295" t="str">
            <v>1q2008</v>
          </cell>
        </row>
        <row r="296">
          <cell r="A296" t="str">
            <v>D0313</v>
          </cell>
          <cell r="B296" t="str">
            <v>DP02F</v>
          </cell>
          <cell r="C296" t="str">
            <v>DP0</v>
          </cell>
          <cell r="D296" t="str">
            <v>Osmeral DS instant</v>
          </cell>
          <cell r="E296" t="str">
            <v>plv 2x170 g</v>
          </cell>
          <cell r="F296">
            <v>54</v>
          </cell>
          <cell r="G296">
            <v>23667.4</v>
          </cell>
          <cell r="H296">
            <v>0</v>
          </cell>
          <cell r="I296" t="str">
            <v>1q2008</v>
          </cell>
        </row>
        <row r="297">
          <cell r="B297" t="str">
            <v>DP02F Celkom</v>
          </cell>
          <cell r="F297">
            <v>768</v>
          </cell>
          <cell r="G297">
            <v>133403</v>
          </cell>
          <cell r="H297">
            <v>0</v>
          </cell>
        </row>
        <row r="298">
          <cell r="A298" t="str">
            <v>D0314</v>
          </cell>
          <cell r="B298" t="str">
            <v>DP03A</v>
          </cell>
          <cell r="C298" t="str">
            <v>DP0</v>
          </cell>
          <cell r="D298" t="str">
            <v>Beba 3 H.A. Junior</v>
          </cell>
          <cell r="E298" t="str">
            <v>plv 1x 750 g</v>
          </cell>
          <cell r="F298">
            <v>490</v>
          </cell>
          <cell r="G298">
            <v>107426.7</v>
          </cell>
          <cell r="H298">
            <v>140950.29999999999</v>
          </cell>
          <cell r="I298" t="str">
            <v>1q2008</v>
          </cell>
        </row>
        <row r="299">
          <cell r="B299" t="str">
            <v>DP03A Celkom</v>
          </cell>
          <cell r="F299">
            <v>490</v>
          </cell>
          <cell r="G299">
            <v>107426.7</v>
          </cell>
          <cell r="H299">
            <v>140950.29999999999</v>
          </cell>
        </row>
        <row r="300">
          <cell r="A300" t="str">
            <v>D0315</v>
          </cell>
          <cell r="B300" t="str">
            <v>DP03H</v>
          </cell>
          <cell r="C300" t="str">
            <v>DP0</v>
          </cell>
          <cell r="D300" t="str">
            <v>FM 85</v>
          </cell>
          <cell r="E300" t="str">
            <v>plv 1x200 g</v>
          </cell>
          <cell r="F300">
            <v>24</v>
          </cell>
          <cell r="G300">
            <v>24010.5</v>
          </cell>
          <cell r="H300">
            <v>2664.4</v>
          </cell>
          <cell r="I300" t="str">
            <v>1q2008</v>
          </cell>
        </row>
        <row r="301">
          <cell r="B301" t="str">
            <v>DP03H Celkom</v>
          </cell>
          <cell r="F301">
            <v>24</v>
          </cell>
          <cell r="G301">
            <v>24010.5</v>
          </cell>
          <cell r="H301">
            <v>2664.4</v>
          </cell>
        </row>
        <row r="302">
          <cell r="A302" t="str">
            <v>D0319</v>
          </cell>
          <cell r="B302" t="str">
            <v>DP02B</v>
          </cell>
          <cell r="C302" t="str">
            <v>DP0</v>
          </cell>
          <cell r="D302" t="str">
            <v>OSMERAL BS instant</v>
          </cell>
          <cell r="E302" t="str">
            <v>plv 2x175g</v>
          </cell>
          <cell r="F302">
            <v>506</v>
          </cell>
          <cell r="G302">
            <v>144414.79999999999</v>
          </cell>
          <cell r="H302">
            <v>4544.5</v>
          </cell>
          <cell r="I302" t="str">
            <v>1q2008</v>
          </cell>
        </row>
        <row r="303">
          <cell r="B303" t="str">
            <v>DP02B Celkom</v>
          </cell>
          <cell r="F303">
            <v>506</v>
          </cell>
          <cell r="G303">
            <v>144414.79999999999</v>
          </cell>
          <cell r="H303">
            <v>4544.5</v>
          </cell>
        </row>
        <row r="304">
          <cell r="A304" t="str">
            <v>D0320</v>
          </cell>
          <cell r="B304" t="str">
            <v>DP02K</v>
          </cell>
          <cell r="C304" t="str">
            <v>DP0</v>
          </cell>
          <cell r="D304" t="str">
            <v>MCT oil</v>
          </cell>
          <cell r="E304" t="str">
            <v>oil 1x500 ml</v>
          </cell>
          <cell r="F304">
            <v>12</v>
          </cell>
          <cell r="G304">
            <v>18585.599999999999</v>
          </cell>
          <cell r="H304">
            <v>1039.2</v>
          </cell>
          <cell r="I304" t="str">
            <v>1q2008</v>
          </cell>
        </row>
        <row r="305">
          <cell r="B305" t="str">
            <v>DP02K Celkom</v>
          </cell>
          <cell r="F305">
            <v>12</v>
          </cell>
          <cell r="G305">
            <v>18585.599999999999</v>
          </cell>
          <cell r="H305">
            <v>1039.2</v>
          </cell>
        </row>
        <row r="306">
          <cell r="A306" t="str">
            <v>D0321</v>
          </cell>
          <cell r="B306" t="str">
            <v>DP03J</v>
          </cell>
          <cell r="C306" t="str">
            <v>DP0</v>
          </cell>
          <cell r="D306" t="str">
            <v>Infatrini</v>
          </cell>
          <cell r="E306" t="str">
            <v>sol 1x100 ml</v>
          </cell>
          <cell r="F306">
            <v>7446</v>
          </cell>
          <cell r="G306">
            <v>558841.9</v>
          </cell>
          <cell r="H306">
            <v>0</v>
          </cell>
          <cell r="I306" t="str">
            <v>1q2008</v>
          </cell>
        </row>
        <row r="307">
          <cell r="B307" t="str">
            <v>DP03J Celkom</v>
          </cell>
          <cell r="F307">
            <v>7446</v>
          </cell>
          <cell r="G307">
            <v>558841.9</v>
          </cell>
          <cell r="H307">
            <v>0</v>
          </cell>
        </row>
        <row r="308">
          <cell r="A308" t="str">
            <v>D0323</v>
          </cell>
          <cell r="B308" t="str">
            <v>DP02C</v>
          </cell>
          <cell r="C308" t="str">
            <v>DP0</v>
          </cell>
          <cell r="D308" t="str">
            <v>OSMERAL HN</v>
          </cell>
          <cell r="E308" t="str">
            <v>sol 1x500 ml</v>
          </cell>
          <cell r="F308">
            <v>581</v>
          </cell>
          <cell r="G308">
            <v>79004.3</v>
          </cell>
          <cell r="H308">
            <v>1795.5</v>
          </cell>
          <cell r="I308" t="str">
            <v>1q2008</v>
          </cell>
        </row>
        <row r="309">
          <cell r="A309" t="str">
            <v>D0325</v>
          </cell>
          <cell r="B309" t="str">
            <v>DP02C</v>
          </cell>
          <cell r="C309" t="str">
            <v>DP0</v>
          </cell>
          <cell r="D309" t="str">
            <v>Fresubin Protein Energy drink -  príchuť lesná jahoda, 200 ml</v>
          </cell>
          <cell r="E309" t="str">
            <v>sol 1x200 ml</v>
          </cell>
          <cell r="F309">
            <v>24</v>
          </cell>
          <cell r="G309">
            <v>1267.2</v>
          </cell>
          <cell r="H309">
            <v>336</v>
          </cell>
          <cell r="I309" t="str">
            <v>1q2008</v>
          </cell>
        </row>
        <row r="310">
          <cell r="B310" t="str">
            <v>DP02C Celkom</v>
          </cell>
          <cell r="F310">
            <v>605</v>
          </cell>
          <cell r="G310">
            <v>80271.5</v>
          </cell>
          <cell r="H310">
            <v>2131.5</v>
          </cell>
        </row>
        <row r="311">
          <cell r="A311" t="str">
            <v>D0330</v>
          </cell>
          <cell r="B311" t="str">
            <v>DP02D</v>
          </cell>
          <cell r="C311" t="str">
            <v>DP0</v>
          </cell>
          <cell r="D311" t="str">
            <v>NUTRIDRINK MULTIFIBRE, príchuť banánová</v>
          </cell>
          <cell r="E311" t="str">
            <v>sol 1x200 ml</v>
          </cell>
          <cell r="F311">
            <v>35625</v>
          </cell>
          <cell r="G311">
            <v>1880006.8</v>
          </cell>
          <cell r="H311">
            <v>22</v>
          </cell>
          <cell r="I311" t="str">
            <v>1q2008</v>
          </cell>
        </row>
        <row r="312">
          <cell r="B312" t="str">
            <v>DP02D Celkom</v>
          </cell>
          <cell r="F312">
            <v>35625</v>
          </cell>
          <cell r="G312">
            <v>1880006.8</v>
          </cell>
          <cell r="H312">
            <v>22</v>
          </cell>
        </row>
        <row r="313">
          <cell r="A313" t="str">
            <v>D0331</v>
          </cell>
          <cell r="B313" t="str">
            <v>DP02F</v>
          </cell>
          <cell r="C313" t="str">
            <v>DP0</v>
          </cell>
          <cell r="D313" t="str">
            <v>DIBEN</v>
          </cell>
          <cell r="E313" t="str">
            <v>sol 15x 500 ml</v>
          </cell>
          <cell r="F313">
            <v>141</v>
          </cell>
          <cell r="G313">
            <v>58378.400000000001</v>
          </cell>
          <cell r="H313">
            <v>0</v>
          </cell>
          <cell r="I313" t="str">
            <v>1q2008</v>
          </cell>
        </row>
        <row r="314">
          <cell r="B314" t="str">
            <v>DP02F Celkom</v>
          </cell>
          <cell r="F314">
            <v>141</v>
          </cell>
          <cell r="G314">
            <v>58378.400000000001</v>
          </cell>
          <cell r="H314">
            <v>0</v>
          </cell>
        </row>
        <row r="315">
          <cell r="A315" t="str">
            <v>D0332</v>
          </cell>
          <cell r="B315" t="str">
            <v>DP03D</v>
          </cell>
          <cell r="C315" t="str">
            <v>DP0</v>
          </cell>
          <cell r="D315" t="str">
            <v>NUTRILON 1 ALLERGY CARE</v>
          </cell>
          <cell r="E315" t="str">
            <v>plv 1x450 g</v>
          </cell>
          <cell r="F315">
            <v>7</v>
          </cell>
          <cell r="G315">
            <v>1287.5</v>
          </cell>
          <cell r="H315">
            <v>1300.2</v>
          </cell>
          <cell r="I315" t="str">
            <v>1q2008</v>
          </cell>
        </row>
        <row r="316">
          <cell r="A316" t="str">
            <v>D0333</v>
          </cell>
          <cell r="B316" t="str">
            <v>DP03D</v>
          </cell>
          <cell r="C316" t="str">
            <v>DP0</v>
          </cell>
          <cell r="D316" t="str">
            <v>NUTRILON 2 ALLERGY CARE</v>
          </cell>
          <cell r="E316" t="str">
            <v>plv 1x450 g</v>
          </cell>
          <cell r="F316">
            <v>26</v>
          </cell>
          <cell r="G316">
            <v>4379.8</v>
          </cell>
          <cell r="H316">
            <v>5008.3</v>
          </cell>
          <cell r="I316" t="str">
            <v>1q2008</v>
          </cell>
        </row>
        <row r="317">
          <cell r="B317" t="str">
            <v>DP03D Celkom</v>
          </cell>
          <cell r="F317">
            <v>33</v>
          </cell>
          <cell r="G317">
            <v>5667.3</v>
          </cell>
          <cell r="H317">
            <v>6308.5</v>
          </cell>
        </row>
        <row r="318">
          <cell r="A318" t="str">
            <v>D0334</v>
          </cell>
          <cell r="B318" t="str">
            <v>DP03E</v>
          </cell>
          <cell r="C318" t="str">
            <v>DP0</v>
          </cell>
          <cell r="D318" t="str">
            <v>NUTRILON 1 ALLERGY DIGESTIVE CARE</v>
          </cell>
          <cell r="E318" t="str">
            <v>plv 1x450 g</v>
          </cell>
          <cell r="F318">
            <v>89</v>
          </cell>
          <cell r="G318">
            <v>34624.1</v>
          </cell>
          <cell r="H318">
            <v>7881</v>
          </cell>
          <cell r="I318" t="str">
            <v>1q2008</v>
          </cell>
        </row>
        <row r="319">
          <cell r="B319" t="str">
            <v>DP03E Celkom</v>
          </cell>
          <cell r="F319">
            <v>89</v>
          </cell>
          <cell r="G319">
            <v>34624.1</v>
          </cell>
          <cell r="H319">
            <v>7881</v>
          </cell>
        </row>
        <row r="320">
          <cell r="A320" t="str">
            <v>D0335</v>
          </cell>
          <cell r="B320" t="str">
            <v>DP01J</v>
          </cell>
          <cell r="C320" t="str">
            <v>DP0</v>
          </cell>
          <cell r="D320" t="str">
            <v>Muffin bezlepkový v prášku</v>
          </cell>
          <cell r="E320" t="str">
            <v>plv 1 x 300 g</v>
          </cell>
          <cell r="F320">
            <v>189</v>
          </cell>
          <cell r="G320">
            <v>5481</v>
          </cell>
          <cell r="H320">
            <v>6426</v>
          </cell>
          <cell r="I320" t="str">
            <v>1q2008</v>
          </cell>
        </row>
        <row r="321">
          <cell r="A321" t="str">
            <v>D0336</v>
          </cell>
          <cell r="B321" t="str">
            <v>DP01J</v>
          </cell>
          <cell r="C321" t="str">
            <v>DP0</v>
          </cell>
          <cell r="D321" t="str">
            <v>Bezlepkové zemiakové knedle</v>
          </cell>
          <cell r="E321" t="str">
            <v>plv 1 x 300 g</v>
          </cell>
          <cell r="F321">
            <v>47</v>
          </cell>
          <cell r="G321">
            <v>1308.7</v>
          </cell>
          <cell r="H321">
            <v>1328.1</v>
          </cell>
          <cell r="I321" t="str">
            <v>1q2008</v>
          </cell>
        </row>
        <row r="322">
          <cell r="A322" t="str">
            <v>D0337</v>
          </cell>
          <cell r="B322" t="str">
            <v>DP01J</v>
          </cell>
          <cell r="C322" t="str">
            <v>DP0</v>
          </cell>
          <cell r="D322" t="str">
            <v>PROMIX-UNI komfort - univerzálna bezlepková zmes pre automatické pečenie</v>
          </cell>
          <cell r="E322" t="str">
            <v>plv 1 x 400 g</v>
          </cell>
          <cell r="F322">
            <v>526</v>
          </cell>
          <cell r="G322">
            <v>23859.1</v>
          </cell>
          <cell r="H322">
            <v>12606.9</v>
          </cell>
          <cell r="I322" t="str">
            <v>1q2008</v>
          </cell>
        </row>
        <row r="323">
          <cell r="A323" t="str">
            <v>D0338</v>
          </cell>
          <cell r="B323" t="str">
            <v>DP01J</v>
          </cell>
          <cell r="C323" t="str">
            <v>DP0</v>
          </cell>
          <cell r="D323" t="str">
            <v>Bezlepkové tyčinky s pohánkou (extrudovaný výrobok)</v>
          </cell>
          <cell r="E323" t="str">
            <v>1x 85 g</v>
          </cell>
          <cell r="F323">
            <v>83</v>
          </cell>
          <cell r="G323">
            <v>845</v>
          </cell>
          <cell r="H323">
            <v>4084.5</v>
          </cell>
          <cell r="I323" t="str">
            <v>1q2008</v>
          </cell>
        </row>
        <row r="324">
          <cell r="A324" t="str">
            <v>D0339</v>
          </cell>
          <cell r="B324" t="str">
            <v>DP01J</v>
          </cell>
          <cell r="C324" t="str">
            <v>DP0</v>
          </cell>
          <cell r="D324" t="str">
            <v>Hviezdičky bezlepkové kakaové (extrudovaný výrobok)</v>
          </cell>
          <cell r="E324" t="str">
            <v>1x 100 g</v>
          </cell>
          <cell r="F324">
            <v>223</v>
          </cell>
          <cell r="G324">
            <v>2676</v>
          </cell>
          <cell r="H324">
            <v>7069.1</v>
          </cell>
          <cell r="I324" t="str">
            <v>1q2008</v>
          </cell>
        </row>
        <row r="325">
          <cell r="A325" t="str">
            <v>D0340</v>
          </cell>
          <cell r="B325" t="str">
            <v>DP01J</v>
          </cell>
          <cell r="C325" t="str">
            <v>DP0</v>
          </cell>
          <cell r="D325" t="str">
            <v>MUESLI bezlepkové granulované</v>
          </cell>
          <cell r="E325" t="str">
            <v>1x 200 g</v>
          </cell>
          <cell r="F325">
            <v>111</v>
          </cell>
          <cell r="G325">
            <v>2440.1999999999998</v>
          </cell>
          <cell r="H325">
            <v>6289.4</v>
          </cell>
          <cell r="I325" t="str">
            <v>1q2008</v>
          </cell>
        </row>
        <row r="326">
          <cell r="B326" t="str">
            <v>DP01J Celkom</v>
          </cell>
          <cell r="F326">
            <v>1179</v>
          </cell>
          <cell r="G326">
            <v>36610</v>
          </cell>
          <cell r="H326">
            <v>37804</v>
          </cell>
        </row>
        <row r="327">
          <cell r="A327" t="str">
            <v>D0341</v>
          </cell>
          <cell r="B327" t="str">
            <v>DP02D</v>
          </cell>
          <cell r="C327" t="str">
            <v>DP0</v>
          </cell>
          <cell r="D327" t="str">
            <v>ENSURE PLUS FIBER, príchuť jahoda</v>
          </cell>
          <cell r="E327" t="str">
            <v>sol 1x200 ml</v>
          </cell>
          <cell r="F327">
            <v>652</v>
          </cell>
          <cell r="G327">
            <v>34353.4</v>
          </cell>
          <cell r="H327">
            <v>0</v>
          </cell>
          <cell r="I327" t="str">
            <v>1q2008</v>
          </cell>
        </row>
        <row r="328">
          <cell r="A328" t="str">
            <v>D0342</v>
          </cell>
          <cell r="B328" t="str">
            <v>DP02D</v>
          </cell>
          <cell r="C328" t="str">
            <v>DP0</v>
          </cell>
          <cell r="D328" t="str">
            <v>ENSURE PLUS FIBER, príchuť banánu</v>
          </cell>
          <cell r="E328" t="str">
            <v>sol 1x200 ml</v>
          </cell>
          <cell r="F328">
            <v>253</v>
          </cell>
          <cell r="G328">
            <v>13337.7</v>
          </cell>
          <cell r="H328">
            <v>0</v>
          </cell>
          <cell r="I328" t="str">
            <v>1q2008</v>
          </cell>
        </row>
        <row r="329">
          <cell r="A329" t="str">
            <v>D0343</v>
          </cell>
          <cell r="B329" t="str">
            <v>DP02D</v>
          </cell>
          <cell r="C329" t="str">
            <v>DP0</v>
          </cell>
          <cell r="D329" t="str">
            <v>ENSURE PLUS FIBER, príchuť čokolády</v>
          </cell>
          <cell r="E329" t="str">
            <v>sol 1x200 ml</v>
          </cell>
          <cell r="F329">
            <v>751</v>
          </cell>
          <cell r="G329">
            <v>39593.800000000003</v>
          </cell>
          <cell r="H329">
            <v>0</v>
          </cell>
          <cell r="I329" t="str">
            <v>1q2008</v>
          </cell>
        </row>
        <row r="330">
          <cell r="A330" t="str">
            <v>D0345</v>
          </cell>
          <cell r="B330" t="str">
            <v>DP02D</v>
          </cell>
          <cell r="C330" t="str">
            <v>DP0</v>
          </cell>
          <cell r="D330" t="str">
            <v>ENSURE PLUS FIBER, príchuť vanilka</v>
          </cell>
          <cell r="E330" t="str">
            <v>sol 1x200 ml</v>
          </cell>
          <cell r="F330">
            <v>186</v>
          </cell>
          <cell r="G330">
            <v>9802.6</v>
          </cell>
          <cell r="H330">
            <v>0</v>
          </cell>
          <cell r="I330" t="str">
            <v>1q2008</v>
          </cell>
        </row>
        <row r="331">
          <cell r="B331" t="str">
            <v>DP02D Celkom</v>
          </cell>
          <cell r="F331">
            <v>1842</v>
          </cell>
          <cell r="G331">
            <v>97087.500000000015</v>
          </cell>
          <cell r="H331">
            <v>0</v>
          </cell>
        </row>
        <row r="332">
          <cell r="A332" t="str">
            <v>D0346</v>
          </cell>
          <cell r="B332" t="str">
            <v>DP02G</v>
          </cell>
          <cell r="C332" t="str">
            <v>DP0</v>
          </cell>
          <cell r="D332" t="str">
            <v>NEPRO, vanilková príchuť</v>
          </cell>
          <cell r="E332" t="str">
            <v>sol 1x 200 ml</v>
          </cell>
          <cell r="F332">
            <v>251</v>
          </cell>
          <cell r="G332">
            <v>26305</v>
          </cell>
          <cell r="H332">
            <v>0</v>
          </cell>
          <cell r="I332" t="str">
            <v>1q2008</v>
          </cell>
        </row>
        <row r="333">
          <cell r="A333" t="str">
            <v>D0347</v>
          </cell>
          <cell r="B333" t="str">
            <v>DP02G</v>
          </cell>
          <cell r="C333" t="str">
            <v>DP0</v>
          </cell>
          <cell r="D333" t="str">
            <v>NEPRO, jahodová príchuť</v>
          </cell>
          <cell r="E333" t="str">
            <v>sol 1x 200 ml</v>
          </cell>
          <cell r="F333">
            <v>165</v>
          </cell>
          <cell r="G333">
            <v>17325</v>
          </cell>
          <cell r="H333">
            <v>0</v>
          </cell>
          <cell r="I333" t="str">
            <v>1q2008</v>
          </cell>
        </row>
        <row r="334">
          <cell r="B334" t="str">
            <v>DP02G Celkom</v>
          </cell>
          <cell r="F334">
            <v>416</v>
          </cell>
          <cell r="G334">
            <v>43630</v>
          </cell>
          <cell r="H334">
            <v>0</v>
          </cell>
        </row>
        <row r="335">
          <cell r="A335" t="str">
            <v>D0348</v>
          </cell>
          <cell r="B335" t="str">
            <v>DP01A</v>
          </cell>
          <cell r="C335" t="str">
            <v>DP0</v>
          </cell>
          <cell r="D335" t="str">
            <v>MINAPHLEX</v>
          </cell>
          <cell r="E335" t="str">
            <v>plv 30x 29 g</v>
          </cell>
          <cell r="F335">
            <v>235</v>
          </cell>
          <cell r="G335">
            <v>254573.6</v>
          </cell>
          <cell r="H335">
            <v>2554.5</v>
          </cell>
          <cell r="I335" t="str">
            <v>1q2008</v>
          </cell>
        </row>
        <row r="336">
          <cell r="A336" t="str">
            <v>D0349</v>
          </cell>
          <cell r="B336" t="str">
            <v>DP01A</v>
          </cell>
          <cell r="C336" t="str">
            <v>DP0</v>
          </cell>
          <cell r="D336" t="str">
            <v>LOPHLEX</v>
          </cell>
          <cell r="E336" t="str">
            <v>plv 30x27,8 g</v>
          </cell>
          <cell r="F336">
            <v>13</v>
          </cell>
          <cell r="G336">
            <v>224506.5</v>
          </cell>
          <cell r="H336">
            <v>690.4</v>
          </cell>
          <cell r="I336" t="str">
            <v>1q2008</v>
          </cell>
        </row>
        <row r="337">
          <cell r="A337" t="str">
            <v>D0350</v>
          </cell>
          <cell r="B337" t="str">
            <v>DP01A</v>
          </cell>
          <cell r="C337" t="str">
            <v>DP0</v>
          </cell>
          <cell r="D337" t="str">
            <v>LOPHLEX pomaranč</v>
          </cell>
          <cell r="E337" t="str">
            <v>plv 30x27,8 g</v>
          </cell>
          <cell r="F337">
            <v>41</v>
          </cell>
          <cell r="G337">
            <v>208383.6</v>
          </cell>
          <cell r="H337">
            <v>642.20000000000005</v>
          </cell>
          <cell r="I337" t="str">
            <v>1q2008</v>
          </cell>
        </row>
        <row r="338">
          <cell r="A338" t="str">
            <v>D0351</v>
          </cell>
          <cell r="B338" t="str">
            <v>DP01A</v>
          </cell>
          <cell r="C338" t="str">
            <v>DP0</v>
          </cell>
          <cell r="D338" t="str">
            <v>LOPHLEX lesné ovocie</v>
          </cell>
          <cell r="E338" t="str">
            <v>plv 30x27,8 g</v>
          </cell>
          <cell r="F338">
            <v>116</v>
          </cell>
          <cell r="G338">
            <v>171585.6</v>
          </cell>
          <cell r="H338">
            <v>532.20000000000005</v>
          </cell>
          <cell r="I338" t="str">
            <v>1q2008</v>
          </cell>
        </row>
        <row r="339">
          <cell r="A339" t="str">
            <v>D0352</v>
          </cell>
          <cell r="B339" t="str">
            <v>DP01A</v>
          </cell>
          <cell r="C339" t="str">
            <v>DP0</v>
          </cell>
          <cell r="D339" t="str">
            <v>MILUPA PKU 2 SHAKE JAHODA-VANILKA</v>
          </cell>
          <cell r="E339" t="str">
            <v>plv 20x30 g</v>
          </cell>
          <cell r="F339">
            <v>17</v>
          </cell>
          <cell r="G339">
            <v>73339.7</v>
          </cell>
          <cell r="H339">
            <v>2085.8000000000002</v>
          </cell>
          <cell r="I339" t="str">
            <v>1q2008</v>
          </cell>
        </row>
        <row r="340">
          <cell r="A340" t="str">
            <v>D0353</v>
          </cell>
          <cell r="B340" t="str">
            <v>DP01A</v>
          </cell>
          <cell r="C340" t="str">
            <v>DP0</v>
          </cell>
          <cell r="D340" t="str">
            <v>MILUPA PKU 2 SHAKE ČOKOLÁDA</v>
          </cell>
          <cell r="E340" t="str">
            <v>plv 20x30 g</v>
          </cell>
          <cell r="F340">
            <v>19</v>
          </cell>
          <cell r="G340">
            <v>83000.100000000006</v>
          </cell>
          <cell r="H340">
            <v>2344.4</v>
          </cell>
          <cell r="I340" t="str">
            <v>1q2008</v>
          </cell>
        </row>
        <row r="341">
          <cell r="A341" t="str">
            <v>D0356</v>
          </cell>
          <cell r="B341" t="str">
            <v>DP01A</v>
          </cell>
          <cell r="C341" t="str">
            <v>DP0</v>
          </cell>
          <cell r="D341" t="str">
            <v>EASIPHEN – tropické ovocie</v>
          </cell>
          <cell r="E341" t="str">
            <v>sol 18x250 ml</v>
          </cell>
          <cell r="F341">
            <v>4</v>
          </cell>
          <cell r="G341">
            <v>37610.9</v>
          </cell>
          <cell r="H341">
            <v>0</v>
          </cell>
          <cell r="I341" t="str">
            <v>1q2008</v>
          </cell>
        </row>
        <row r="342">
          <cell r="A342" t="str">
            <v>D0357</v>
          </cell>
          <cell r="B342" t="str">
            <v>DP01A</v>
          </cell>
          <cell r="C342" t="str">
            <v>DP0</v>
          </cell>
          <cell r="D342" t="str">
            <v>EASIPHEN – lesné plody</v>
          </cell>
          <cell r="E342" t="str">
            <v>sol 18x250 ml</v>
          </cell>
          <cell r="F342">
            <v>3</v>
          </cell>
          <cell r="G342">
            <v>28208.3</v>
          </cell>
          <cell r="H342">
            <v>0</v>
          </cell>
          <cell r="I342" t="str">
            <v>1q2008</v>
          </cell>
        </row>
        <row r="343">
          <cell r="A343" t="str">
            <v>D0358</v>
          </cell>
          <cell r="B343" t="str">
            <v>DP01A</v>
          </cell>
          <cell r="C343" t="str">
            <v>DP0</v>
          </cell>
          <cell r="D343" t="str">
            <v>EASIPHEN – pomaranč</v>
          </cell>
          <cell r="E343" t="str">
            <v>sol 18x250 ml</v>
          </cell>
          <cell r="F343">
            <v>2</v>
          </cell>
          <cell r="G343">
            <v>18805.599999999999</v>
          </cell>
          <cell r="H343">
            <v>0</v>
          </cell>
          <cell r="I343" t="str">
            <v>1q2008</v>
          </cell>
        </row>
        <row r="344">
          <cell r="A344" t="str">
            <v>D0359</v>
          </cell>
          <cell r="B344" t="str">
            <v>DP01A</v>
          </cell>
          <cell r="C344" t="str">
            <v>DP0</v>
          </cell>
          <cell r="D344" t="str">
            <v>LOPHLEX LQ - citrus</v>
          </cell>
          <cell r="E344" t="str">
            <v>sol 3x125 ml</v>
          </cell>
          <cell r="F344">
            <v>12</v>
          </cell>
          <cell r="G344">
            <v>19906</v>
          </cell>
          <cell r="H344">
            <v>0</v>
          </cell>
          <cell r="I344" t="str">
            <v>1q2008</v>
          </cell>
        </row>
        <row r="345">
          <cell r="A345" t="str">
            <v>D0360</v>
          </cell>
          <cell r="B345" t="str">
            <v>DP01A</v>
          </cell>
          <cell r="C345" t="str">
            <v>DP0</v>
          </cell>
          <cell r="D345" t="str">
            <v>LOPHLEX LQ - lesné ovocie</v>
          </cell>
          <cell r="E345" t="str">
            <v>sol 3x125 ml</v>
          </cell>
          <cell r="F345">
            <v>16</v>
          </cell>
          <cell r="G345">
            <v>26542.2</v>
          </cell>
          <cell r="H345">
            <v>0</v>
          </cell>
          <cell r="I345" t="str">
            <v>1q2008</v>
          </cell>
        </row>
        <row r="346">
          <cell r="A346" t="str">
            <v>D0361</v>
          </cell>
          <cell r="B346" t="str">
            <v>DP01A</v>
          </cell>
          <cell r="C346" t="str">
            <v>DP0</v>
          </cell>
          <cell r="D346" t="str">
            <v>LOPHLEX LQ - pomaranč</v>
          </cell>
          <cell r="E346" t="str">
            <v>sol 3x125 ml</v>
          </cell>
          <cell r="F346">
            <v>6</v>
          </cell>
          <cell r="G346">
            <v>9953.2000000000007</v>
          </cell>
          <cell r="H346">
            <v>0</v>
          </cell>
          <cell r="I346" t="str">
            <v>1q2008</v>
          </cell>
        </row>
        <row r="347">
          <cell r="B347" t="str">
            <v>DP01A Celkom</v>
          </cell>
          <cell r="F347">
            <v>484</v>
          </cell>
          <cell r="G347">
            <v>1156415.2999999998</v>
          </cell>
          <cell r="H347">
            <v>8849.5</v>
          </cell>
        </row>
        <row r="348">
          <cell r="A348" t="str">
            <v>D0363</v>
          </cell>
          <cell r="B348" t="str">
            <v>DP03A</v>
          </cell>
          <cell r="C348" t="str">
            <v>DP0</v>
          </cell>
          <cell r="D348" t="str">
            <v>Nutrilon  HA 3</v>
          </cell>
          <cell r="E348" t="str">
            <v>plv 1x400 g</v>
          </cell>
          <cell r="F348">
            <v>352</v>
          </cell>
          <cell r="G348">
            <v>54309.8</v>
          </cell>
          <cell r="H348">
            <v>43497.9</v>
          </cell>
          <cell r="I348" t="str">
            <v>1q2008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B927-BE9F-493A-BC17-EC7A16C87918}">
  <dimension ref="A1:I113"/>
  <sheetViews>
    <sheetView tabSelected="1" zoomScale="70" zoomScaleNormal="70" workbookViewId="0">
      <selection activeCell="N7" sqref="N7"/>
    </sheetView>
  </sheetViews>
  <sheetFormatPr defaultRowHeight="14.35" x14ac:dyDescent="0.5"/>
  <cols>
    <col min="1" max="1" width="7.8203125" bestFit="1" customWidth="1"/>
    <col min="2" max="2" width="5.17578125" bestFit="1" customWidth="1"/>
    <col min="4" max="4" width="10.46875" bestFit="1" customWidth="1"/>
    <col min="5" max="5" width="6.8203125" bestFit="1" customWidth="1"/>
    <col min="6" max="6" width="3.703125" customWidth="1"/>
    <col min="7" max="7" width="8.52734375" style="7" customWidth="1"/>
    <col min="8" max="8" width="31.29296875" bestFit="1" customWidth="1"/>
    <col min="9" max="9" width="10.29296875" customWidth="1"/>
  </cols>
  <sheetData>
    <row r="1" spans="1:9" ht="28.35" x14ac:dyDescent="0.95">
      <c r="A1" s="9" t="s">
        <v>227</v>
      </c>
      <c r="B1" s="9"/>
      <c r="C1" s="9"/>
      <c r="D1" s="9"/>
      <c r="E1" s="9"/>
      <c r="F1" s="9"/>
      <c r="G1" s="9"/>
      <c r="H1" s="9"/>
      <c r="I1" s="9"/>
    </row>
    <row r="3" spans="1:9" x14ac:dyDescent="0.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5">
      <c r="A4" s="2"/>
      <c r="B4" s="2">
        <v>1</v>
      </c>
      <c r="C4" s="2" t="s">
        <v>9</v>
      </c>
      <c r="D4" s="2" t="s">
        <v>10</v>
      </c>
      <c r="E4" s="2">
        <v>1986</v>
      </c>
      <c r="F4" s="2" t="str">
        <f>IF(E4&lt;=1954,"D",IF(E4&lt;=1964,"C",IF(E4&lt;=1974,"B","A")))</f>
        <v>A</v>
      </c>
      <c r="G4" s="3" t="s">
        <v>11</v>
      </c>
      <c r="H4" s="2" t="s">
        <v>12</v>
      </c>
      <c r="I4" s="4">
        <v>1.1805555555555556</v>
      </c>
    </row>
    <row r="5" spans="1:9" x14ac:dyDescent="0.5">
      <c r="A5" s="2"/>
      <c r="B5" s="2">
        <v>2</v>
      </c>
      <c r="C5" s="2" t="s">
        <v>13</v>
      </c>
      <c r="D5" s="2" t="s">
        <v>14</v>
      </c>
      <c r="E5" s="2">
        <v>1995</v>
      </c>
      <c r="F5" s="2" t="str">
        <f>IF(E5&lt;=1954,"D",IF(E5&lt;=1964,"C",IF(E5&lt;=1974,"B","A")))</f>
        <v>A</v>
      </c>
      <c r="G5" s="3" t="s">
        <v>11</v>
      </c>
      <c r="H5" s="2" t="s">
        <v>12</v>
      </c>
      <c r="I5" s="4">
        <v>1.1909722222222221</v>
      </c>
    </row>
    <row r="6" spans="1:9" x14ac:dyDescent="0.5">
      <c r="A6" s="2"/>
      <c r="B6" s="2">
        <v>3</v>
      </c>
      <c r="C6" s="2" t="s">
        <v>9</v>
      </c>
      <c r="D6" s="2" t="s">
        <v>15</v>
      </c>
      <c r="E6" s="2">
        <v>1987</v>
      </c>
      <c r="F6" s="2" t="str">
        <f>IF(E6&lt;=1954,"D",IF(E6&lt;=1964,"C",IF(E6&lt;=1974,"B","A")))</f>
        <v>A</v>
      </c>
      <c r="G6" s="3" t="s">
        <v>11</v>
      </c>
      <c r="H6" s="2" t="s">
        <v>16</v>
      </c>
      <c r="I6" s="4">
        <v>1.6194444444444445</v>
      </c>
    </row>
    <row r="7" spans="1:9" x14ac:dyDescent="0.5">
      <c r="A7" s="2"/>
      <c r="B7" s="2">
        <v>4</v>
      </c>
      <c r="C7" s="2" t="s">
        <v>17</v>
      </c>
      <c r="D7" s="2" t="s">
        <v>18</v>
      </c>
      <c r="E7" s="2">
        <v>1965</v>
      </c>
      <c r="F7" s="2" t="str">
        <f>IF(E7&gt;=1974,"A","B")</f>
        <v>B</v>
      </c>
      <c r="G7" s="3" t="s">
        <v>19</v>
      </c>
      <c r="H7" s="2" t="s">
        <v>20</v>
      </c>
      <c r="I7" s="4">
        <v>1.6993055555555554</v>
      </c>
    </row>
    <row r="8" spans="1:9" x14ac:dyDescent="0.5">
      <c r="A8" s="2"/>
      <c r="B8" s="2">
        <v>5</v>
      </c>
      <c r="C8" s="2" t="s">
        <v>21</v>
      </c>
      <c r="D8" s="2" t="s">
        <v>22</v>
      </c>
      <c r="E8" s="2">
        <v>1942</v>
      </c>
      <c r="F8" s="2" t="str">
        <f>IF(E8&lt;=1954,"D",IF(E8&lt;=1964,"C",IF(E8&lt;=1974,"B","A")))</f>
        <v>D</v>
      </c>
      <c r="G8" s="3" t="s">
        <v>11</v>
      </c>
      <c r="H8" s="2" t="s">
        <v>16</v>
      </c>
      <c r="I8" s="4">
        <v>2.129861111111111</v>
      </c>
    </row>
    <row r="9" spans="1:9" x14ac:dyDescent="0.5">
      <c r="A9" s="2"/>
      <c r="B9" s="2">
        <v>6</v>
      </c>
      <c r="C9" s="2" t="s">
        <v>23</v>
      </c>
      <c r="D9" s="2" t="s">
        <v>24</v>
      </c>
      <c r="E9" s="2">
        <v>1996</v>
      </c>
      <c r="F9" s="2" t="str">
        <f>IF(E9&gt;=1975,"A","B")</f>
        <v>A</v>
      </c>
      <c r="G9" s="3" t="s">
        <v>19</v>
      </c>
      <c r="H9" s="2" t="s">
        <v>16</v>
      </c>
      <c r="I9" s="4">
        <v>1.7902777777777779</v>
      </c>
    </row>
    <row r="10" spans="1:9" x14ac:dyDescent="0.5">
      <c r="A10" s="2"/>
      <c r="B10" s="2">
        <v>7</v>
      </c>
      <c r="C10" s="2" t="s">
        <v>25</v>
      </c>
      <c r="D10" s="2" t="s">
        <v>26</v>
      </c>
      <c r="E10" s="2">
        <v>1977</v>
      </c>
      <c r="F10" s="2" t="str">
        <f t="shared" ref="F10:F24" si="0">IF(E10&lt;=1954,"D",IF(E10&lt;=1964,"C",IF(E10&lt;=1974,"B","A")))</f>
        <v>A</v>
      </c>
      <c r="G10" s="3" t="s">
        <v>11</v>
      </c>
      <c r="H10" s="2" t="s">
        <v>16</v>
      </c>
      <c r="I10" s="4">
        <v>1.5805555555555555</v>
      </c>
    </row>
    <row r="11" spans="1:9" x14ac:dyDescent="0.5">
      <c r="A11" s="2"/>
      <c r="B11" s="2">
        <v>8</v>
      </c>
      <c r="C11" s="2" t="s">
        <v>27</v>
      </c>
      <c r="D11" s="2" t="s">
        <v>28</v>
      </c>
      <c r="E11" s="2">
        <v>1982</v>
      </c>
      <c r="F11" s="2" t="str">
        <f t="shared" si="0"/>
        <v>A</v>
      </c>
      <c r="G11" s="3" t="s">
        <v>11</v>
      </c>
      <c r="H11" s="2" t="s">
        <v>29</v>
      </c>
      <c r="I11" s="4">
        <v>2.1479166666666667</v>
      </c>
    </row>
    <row r="12" spans="1:9" x14ac:dyDescent="0.5">
      <c r="A12" s="2"/>
      <c r="B12" s="2">
        <v>9</v>
      </c>
      <c r="C12" s="2" t="s">
        <v>30</v>
      </c>
      <c r="D12" s="2" t="s">
        <v>31</v>
      </c>
      <c r="E12" s="2">
        <v>1966</v>
      </c>
      <c r="F12" s="2" t="str">
        <f t="shared" si="0"/>
        <v>B</v>
      </c>
      <c r="G12" s="3" t="s">
        <v>11</v>
      </c>
      <c r="H12" s="2" t="s">
        <v>16</v>
      </c>
      <c r="I12" s="4">
        <v>1.6673611111111111</v>
      </c>
    </row>
    <row r="13" spans="1:9" x14ac:dyDescent="0.5">
      <c r="A13" s="2"/>
      <c r="B13" s="2">
        <v>10</v>
      </c>
      <c r="C13" s="2" t="s">
        <v>32</v>
      </c>
      <c r="D13" s="2" t="s">
        <v>33</v>
      </c>
      <c r="E13" s="2">
        <v>1984</v>
      </c>
      <c r="F13" s="2" t="str">
        <f t="shared" si="0"/>
        <v>A</v>
      </c>
      <c r="G13" s="3" t="s">
        <v>11</v>
      </c>
      <c r="H13" s="2" t="s">
        <v>34</v>
      </c>
      <c r="I13" s="4">
        <v>1.5625</v>
      </c>
    </row>
    <row r="14" spans="1:9" x14ac:dyDescent="0.5">
      <c r="A14" s="2"/>
      <c r="B14" s="2">
        <v>11</v>
      </c>
      <c r="C14" s="2" t="s">
        <v>25</v>
      </c>
      <c r="D14" s="2" t="s">
        <v>35</v>
      </c>
      <c r="E14" s="2">
        <v>1993</v>
      </c>
      <c r="F14" s="2" t="str">
        <f t="shared" si="0"/>
        <v>A</v>
      </c>
      <c r="G14" s="3" t="s">
        <v>11</v>
      </c>
      <c r="H14" s="2" t="s">
        <v>36</v>
      </c>
      <c r="I14" s="4">
        <v>1.3375000000000001</v>
      </c>
    </row>
    <row r="15" spans="1:9" x14ac:dyDescent="0.5">
      <c r="A15" s="2"/>
      <c r="B15" s="2">
        <v>12</v>
      </c>
      <c r="C15" s="2" t="s">
        <v>37</v>
      </c>
      <c r="D15" s="2" t="s">
        <v>38</v>
      </c>
      <c r="E15" s="2">
        <v>1975</v>
      </c>
      <c r="F15" s="2" t="str">
        <f t="shared" si="0"/>
        <v>A</v>
      </c>
      <c r="G15" s="3" t="s">
        <v>11</v>
      </c>
      <c r="H15" s="2" t="s">
        <v>39</v>
      </c>
      <c r="I15" s="4">
        <v>1.5493055555555555</v>
      </c>
    </row>
    <row r="16" spans="1:9" x14ac:dyDescent="0.5">
      <c r="A16" s="2"/>
      <c r="B16" s="2">
        <v>13</v>
      </c>
      <c r="C16" s="2" t="s">
        <v>21</v>
      </c>
      <c r="D16" s="2" t="s">
        <v>40</v>
      </c>
      <c r="E16" s="2">
        <v>1983</v>
      </c>
      <c r="F16" s="2" t="str">
        <f t="shared" si="0"/>
        <v>A</v>
      </c>
      <c r="G16" s="3" t="s">
        <v>11</v>
      </c>
      <c r="H16" s="2" t="s">
        <v>16</v>
      </c>
      <c r="I16" s="4">
        <v>1.8069444444444445</v>
      </c>
    </row>
    <row r="17" spans="1:9" x14ac:dyDescent="0.5">
      <c r="A17" s="2"/>
      <c r="B17" s="2">
        <v>14</v>
      </c>
      <c r="C17" s="2" t="s">
        <v>41</v>
      </c>
      <c r="D17" s="2" t="s">
        <v>42</v>
      </c>
      <c r="E17" s="2">
        <v>1970</v>
      </c>
      <c r="F17" s="2" t="str">
        <f t="shared" si="0"/>
        <v>B</v>
      </c>
      <c r="G17" s="3" t="s">
        <v>11</v>
      </c>
      <c r="H17" s="2" t="s">
        <v>29</v>
      </c>
      <c r="I17" s="4">
        <v>1.4069444444444443</v>
      </c>
    </row>
    <row r="18" spans="1:9" x14ac:dyDescent="0.5">
      <c r="A18" s="2"/>
      <c r="B18" s="2">
        <v>15</v>
      </c>
      <c r="C18" s="2" t="s">
        <v>43</v>
      </c>
      <c r="D18" s="2" t="s">
        <v>44</v>
      </c>
      <c r="E18" s="2">
        <v>1958</v>
      </c>
      <c r="F18" s="2" t="str">
        <f t="shared" si="0"/>
        <v>C</v>
      </c>
      <c r="G18" s="3" t="s">
        <v>11</v>
      </c>
      <c r="H18" s="2" t="s">
        <v>45</v>
      </c>
      <c r="I18" s="4">
        <v>2.1326388888888888</v>
      </c>
    </row>
    <row r="19" spans="1:9" x14ac:dyDescent="0.5">
      <c r="A19" s="2"/>
      <c r="B19" s="2">
        <v>16</v>
      </c>
      <c r="C19" s="2" t="s">
        <v>46</v>
      </c>
      <c r="D19" s="2" t="s">
        <v>47</v>
      </c>
      <c r="E19" s="2">
        <v>1973</v>
      </c>
      <c r="F19" s="2" t="str">
        <f t="shared" si="0"/>
        <v>B</v>
      </c>
      <c r="G19" s="3" t="s">
        <v>11</v>
      </c>
      <c r="H19" s="2" t="s">
        <v>12</v>
      </c>
      <c r="I19" s="4">
        <v>1.6618055555555555</v>
      </c>
    </row>
    <row r="20" spans="1:9" x14ac:dyDescent="0.5">
      <c r="A20" s="2"/>
      <c r="B20" s="2">
        <v>17</v>
      </c>
      <c r="C20" s="2" t="s">
        <v>32</v>
      </c>
      <c r="D20" s="2" t="s">
        <v>48</v>
      </c>
      <c r="E20" s="2">
        <v>1964</v>
      </c>
      <c r="F20" s="2" t="str">
        <f t="shared" si="0"/>
        <v>C</v>
      </c>
      <c r="G20" s="3" t="s">
        <v>11</v>
      </c>
      <c r="H20" s="2" t="s">
        <v>16</v>
      </c>
      <c r="I20" s="4">
        <v>1.6409722222222223</v>
      </c>
    </row>
    <row r="21" spans="1:9" x14ac:dyDescent="0.5">
      <c r="A21" s="2"/>
      <c r="B21" s="2">
        <v>18</v>
      </c>
      <c r="C21" s="2" t="s">
        <v>49</v>
      </c>
      <c r="D21" s="2" t="s">
        <v>50</v>
      </c>
      <c r="E21" s="2">
        <v>1965</v>
      </c>
      <c r="F21" s="2" t="str">
        <f t="shared" si="0"/>
        <v>B</v>
      </c>
      <c r="G21" s="3" t="s">
        <v>11</v>
      </c>
      <c r="H21" s="2" t="s">
        <v>51</v>
      </c>
      <c r="I21" s="4">
        <v>1.5541666666666665</v>
      </c>
    </row>
    <row r="22" spans="1:9" x14ac:dyDescent="0.5">
      <c r="A22" s="2"/>
      <c r="B22" s="2">
        <v>19</v>
      </c>
      <c r="C22" s="2" t="s">
        <v>52</v>
      </c>
      <c r="D22" s="2" t="s">
        <v>53</v>
      </c>
      <c r="E22" s="2">
        <v>1964</v>
      </c>
      <c r="F22" s="2" t="str">
        <f t="shared" si="0"/>
        <v>C</v>
      </c>
      <c r="G22" s="3" t="s">
        <v>11</v>
      </c>
      <c r="H22" s="2"/>
      <c r="I22" s="4">
        <v>1.4076388888888889</v>
      </c>
    </row>
    <row r="23" spans="1:9" x14ac:dyDescent="0.5">
      <c r="A23" s="2"/>
      <c r="B23" s="2">
        <v>20</v>
      </c>
      <c r="C23" s="2" t="s">
        <v>54</v>
      </c>
      <c r="D23" s="2" t="s">
        <v>55</v>
      </c>
      <c r="E23" s="2">
        <v>1947</v>
      </c>
      <c r="F23" s="2" t="str">
        <f t="shared" si="0"/>
        <v>D</v>
      </c>
      <c r="G23" s="3" t="s">
        <v>11</v>
      </c>
      <c r="H23" s="2" t="s">
        <v>56</v>
      </c>
      <c r="I23" s="4">
        <v>2.1104166666666666</v>
      </c>
    </row>
    <row r="24" spans="1:9" x14ac:dyDescent="0.5">
      <c r="A24" s="2"/>
      <c r="B24" s="2">
        <v>21</v>
      </c>
      <c r="C24" s="2" t="s">
        <v>57</v>
      </c>
      <c r="D24" s="2" t="s">
        <v>58</v>
      </c>
      <c r="E24" s="2">
        <v>2000</v>
      </c>
      <c r="F24" s="2" t="str">
        <f t="shared" si="0"/>
        <v>A</v>
      </c>
      <c r="G24" s="3" t="s">
        <v>11</v>
      </c>
      <c r="H24" s="2" t="s">
        <v>59</v>
      </c>
      <c r="I24" s="4">
        <v>1.6354166666666667</v>
      </c>
    </row>
    <row r="25" spans="1:9" x14ac:dyDescent="0.5">
      <c r="A25" s="2"/>
      <c r="B25" s="2">
        <v>22</v>
      </c>
      <c r="C25" s="2" t="s">
        <v>60</v>
      </c>
      <c r="D25" s="2" t="s">
        <v>61</v>
      </c>
      <c r="E25" s="2">
        <v>1947</v>
      </c>
      <c r="F25" s="2" t="str">
        <f>IF(E25&gt;=1975,"A","B")</f>
        <v>B</v>
      </c>
      <c r="G25" s="3" t="s">
        <v>19</v>
      </c>
      <c r="H25" s="2" t="s">
        <v>12</v>
      </c>
      <c r="I25" s="4">
        <v>1.8743055555555557</v>
      </c>
    </row>
    <row r="26" spans="1:9" x14ac:dyDescent="0.5">
      <c r="A26" s="2"/>
      <c r="B26" s="2">
        <v>23</v>
      </c>
      <c r="C26" s="2" t="s">
        <v>62</v>
      </c>
      <c r="D26" s="2" t="s">
        <v>63</v>
      </c>
      <c r="E26" s="2">
        <v>1972</v>
      </c>
      <c r="F26" s="2" t="str">
        <f>IF(E26&lt;=1954,"D",IF(E26&lt;=1964,"C",IF(E26&lt;=1974,"B","A")))</f>
        <v>B</v>
      </c>
      <c r="G26" s="3" t="s">
        <v>11</v>
      </c>
      <c r="H26" s="2" t="s">
        <v>64</v>
      </c>
      <c r="I26" s="4">
        <v>1.3083333333333333</v>
      </c>
    </row>
    <row r="27" spans="1:9" x14ac:dyDescent="0.5">
      <c r="A27" s="2"/>
      <c r="B27" s="2">
        <v>24</v>
      </c>
      <c r="C27" s="2" t="s">
        <v>65</v>
      </c>
      <c r="D27" s="2" t="s">
        <v>66</v>
      </c>
      <c r="E27" s="2">
        <v>1958</v>
      </c>
      <c r="F27" s="2" t="str">
        <f>IF(E27&lt;=1954,"D",IF(E27&lt;=1964,"C",IF(E27&lt;=1974,"B","A")))</f>
        <v>C</v>
      </c>
      <c r="G27" s="3" t="s">
        <v>11</v>
      </c>
      <c r="H27" s="2" t="s">
        <v>67</v>
      </c>
      <c r="I27" s="4">
        <v>1.6145833333333333</v>
      </c>
    </row>
    <row r="28" spans="1:9" x14ac:dyDescent="0.5">
      <c r="A28" s="2"/>
      <c r="B28" s="2">
        <v>25</v>
      </c>
      <c r="C28" s="2" t="s">
        <v>37</v>
      </c>
      <c r="D28" s="2" t="s">
        <v>68</v>
      </c>
      <c r="E28" s="2">
        <v>1983</v>
      </c>
      <c r="F28" s="2" t="str">
        <f>IF(E28&lt;=1954,"D",IF(E28&lt;=1964,"C",IF(E28&lt;=1974,"B","A")))</f>
        <v>A</v>
      </c>
      <c r="G28" s="3" t="s">
        <v>11</v>
      </c>
      <c r="H28" s="2" t="s">
        <v>51</v>
      </c>
      <c r="I28" s="4">
        <v>1.3687500000000001</v>
      </c>
    </row>
    <row r="29" spans="1:9" x14ac:dyDescent="0.5">
      <c r="A29" s="2"/>
      <c r="B29" s="2">
        <v>26</v>
      </c>
      <c r="C29" s="2" t="s">
        <v>69</v>
      </c>
      <c r="D29" s="2" t="s">
        <v>70</v>
      </c>
      <c r="E29" s="2">
        <v>1956</v>
      </c>
      <c r="F29" s="2" t="str">
        <f>IF(E29&gt;=1975,"A","B")</f>
        <v>B</v>
      </c>
      <c r="G29" s="3" t="s">
        <v>19</v>
      </c>
      <c r="H29" s="2" t="s">
        <v>71</v>
      </c>
      <c r="I29" s="4">
        <v>1.8812499999999999</v>
      </c>
    </row>
    <row r="30" spans="1:9" x14ac:dyDescent="0.5">
      <c r="A30" s="2"/>
      <c r="B30" s="2">
        <v>27</v>
      </c>
      <c r="C30" s="2" t="s">
        <v>72</v>
      </c>
      <c r="D30" s="2" t="s">
        <v>73</v>
      </c>
      <c r="E30" s="2">
        <v>1998</v>
      </c>
      <c r="F30" s="2" t="str">
        <f>IF(E30&lt;=1954,"D",IF(E30&lt;=1964,"C",IF(E30&lt;=1974,"B","A")))</f>
        <v>A</v>
      </c>
      <c r="G30" s="3" t="s">
        <v>11</v>
      </c>
      <c r="H30" s="2" t="s">
        <v>12</v>
      </c>
      <c r="I30" s="4">
        <v>1.5243055555555556</v>
      </c>
    </row>
    <row r="31" spans="1:9" x14ac:dyDescent="0.5">
      <c r="A31" s="2"/>
      <c r="B31" s="2">
        <v>28</v>
      </c>
      <c r="C31" s="2" t="s">
        <v>74</v>
      </c>
      <c r="D31" s="2" t="s">
        <v>75</v>
      </c>
      <c r="E31" s="2">
        <v>1986</v>
      </c>
      <c r="F31" s="2" t="str">
        <f>IF(E31&lt;=1954,"D",IF(E31&lt;=1964,"C",IF(E31&lt;=1974,"B","A")))</f>
        <v>A</v>
      </c>
      <c r="G31" s="3" t="s">
        <v>11</v>
      </c>
      <c r="H31" s="2" t="s">
        <v>76</v>
      </c>
      <c r="I31" s="4">
        <v>1.7020833333333334</v>
      </c>
    </row>
    <row r="32" spans="1:9" x14ac:dyDescent="0.5">
      <c r="A32" s="2"/>
      <c r="B32" s="2">
        <v>29</v>
      </c>
      <c r="C32" s="2" t="s">
        <v>77</v>
      </c>
      <c r="D32" s="2" t="s">
        <v>78</v>
      </c>
      <c r="E32" s="2">
        <v>1990</v>
      </c>
      <c r="F32" s="2" t="str">
        <f>IF(E32&gt;=1975,"A","B")</f>
        <v>A</v>
      </c>
      <c r="G32" s="3" t="s">
        <v>19</v>
      </c>
      <c r="H32" s="2" t="s">
        <v>12</v>
      </c>
      <c r="I32" s="4">
        <v>1.320138888888889</v>
      </c>
    </row>
    <row r="33" spans="1:9" x14ac:dyDescent="0.5">
      <c r="A33" s="2"/>
      <c r="B33" s="2">
        <v>30</v>
      </c>
      <c r="C33" s="2" t="s">
        <v>79</v>
      </c>
      <c r="D33" s="2" t="s">
        <v>80</v>
      </c>
      <c r="E33" s="2">
        <v>1961</v>
      </c>
      <c r="F33" s="2" t="str">
        <f>IF(E33&lt;=1954,"D",IF(E33&lt;=1964,"C",IF(E33&lt;=1974,"B","A")))</f>
        <v>C</v>
      </c>
      <c r="G33" s="3" t="s">
        <v>11</v>
      </c>
      <c r="H33" s="2" t="s">
        <v>81</v>
      </c>
      <c r="I33" s="4">
        <v>1.3215277777777776</v>
      </c>
    </row>
    <row r="34" spans="1:9" x14ac:dyDescent="0.5">
      <c r="A34" s="2"/>
      <c r="B34" s="2">
        <v>31</v>
      </c>
      <c r="C34" s="2" t="s">
        <v>32</v>
      </c>
      <c r="D34" s="2" t="s">
        <v>82</v>
      </c>
      <c r="E34" s="2">
        <v>1989</v>
      </c>
      <c r="F34" s="2" t="str">
        <f>IF(E34&lt;=1954,"D",IF(E34&lt;=1964,"C",IF(E34&lt;=1974,"B","A")))</f>
        <v>A</v>
      </c>
      <c r="G34" s="3" t="s">
        <v>11</v>
      </c>
      <c r="H34" s="2" t="s">
        <v>16</v>
      </c>
      <c r="I34" s="4">
        <v>1.3243055555555556</v>
      </c>
    </row>
    <row r="35" spans="1:9" x14ac:dyDescent="0.5">
      <c r="A35" s="2"/>
      <c r="B35" s="2">
        <v>32</v>
      </c>
      <c r="C35" s="2" t="s">
        <v>32</v>
      </c>
      <c r="D35" s="2" t="s">
        <v>83</v>
      </c>
      <c r="E35" s="2">
        <v>1972</v>
      </c>
      <c r="F35" s="2" t="str">
        <f>IF(E35&lt;=1954,"D",IF(E35&lt;=1964,"C",IF(E35&lt;=1974,"B","A")))</f>
        <v>B</v>
      </c>
      <c r="G35" s="3" t="s">
        <v>11</v>
      </c>
      <c r="H35" s="2" t="s">
        <v>84</v>
      </c>
      <c r="I35" s="4">
        <v>1.1826388888888888</v>
      </c>
    </row>
    <row r="36" spans="1:9" x14ac:dyDescent="0.5">
      <c r="A36" s="2"/>
      <c r="B36" s="2">
        <v>33</v>
      </c>
      <c r="C36" s="2" t="s">
        <v>85</v>
      </c>
      <c r="D36" s="2" t="s">
        <v>86</v>
      </c>
      <c r="E36" s="2">
        <v>1977</v>
      </c>
      <c r="F36" s="2" t="str">
        <f>IF(E36&gt;=1975,"A","B")</f>
        <v>A</v>
      </c>
      <c r="G36" s="3" t="s">
        <v>19</v>
      </c>
      <c r="H36" s="2" t="s">
        <v>87</v>
      </c>
      <c r="I36" s="4">
        <v>1.4131944444444444</v>
      </c>
    </row>
    <row r="37" spans="1:9" x14ac:dyDescent="0.5">
      <c r="A37" s="2"/>
      <c r="B37" s="2">
        <v>34</v>
      </c>
      <c r="C37" s="2" t="s">
        <v>88</v>
      </c>
      <c r="D37" s="2" t="s">
        <v>89</v>
      </c>
      <c r="E37" s="2">
        <v>1977</v>
      </c>
      <c r="F37" s="2" t="str">
        <f>IF(E37&gt;=1975,"A","B")</f>
        <v>A</v>
      </c>
      <c r="G37" s="3" t="s">
        <v>19</v>
      </c>
      <c r="H37" s="2" t="s">
        <v>90</v>
      </c>
      <c r="I37" s="4">
        <v>1.4930555555555556</v>
      </c>
    </row>
    <row r="38" spans="1:9" x14ac:dyDescent="0.5">
      <c r="A38" s="2"/>
      <c r="B38" s="2">
        <v>35</v>
      </c>
      <c r="C38" s="2" t="s">
        <v>91</v>
      </c>
      <c r="D38" s="2" t="s">
        <v>92</v>
      </c>
      <c r="E38" s="2">
        <v>1977</v>
      </c>
      <c r="F38" s="2" t="str">
        <f>IF(E38&lt;=1954,"D",IF(E38&lt;=1964,"C",IF(E38&lt;=1974,"B","A")))</f>
        <v>A</v>
      </c>
      <c r="G38" s="3" t="s">
        <v>11</v>
      </c>
      <c r="H38" s="2" t="s">
        <v>16</v>
      </c>
      <c r="I38" s="4">
        <v>1.9166666666666667</v>
      </c>
    </row>
    <row r="39" spans="1:9" x14ac:dyDescent="0.5">
      <c r="A39" s="2"/>
      <c r="B39" s="2">
        <v>36</v>
      </c>
      <c r="C39" s="2" t="s">
        <v>93</v>
      </c>
      <c r="D39" s="2" t="s">
        <v>94</v>
      </c>
      <c r="E39" s="2">
        <v>1964</v>
      </c>
      <c r="F39" s="2" t="str">
        <f>IF(E39&lt;=1954,"D",IF(E39&lt;=1964,"C",IF(E39&lt;=1974,"B","A")))</f>
        <v>C</v>
      </c>
      <c r="G39" s="3" t="s">
        <v>11</v>
      </c>
      <c r="H39" s="2" t="s">
        <v>95</v>
      </c>
      <c r="I39" s="4">
        <v>1.3861111111111111</v>
      </c>
    </row>
    <row r="40" spans="1:9" x14ac:dyDescent="0.5">
      <c r="A40" s="2"/>
      <c r="B40" s="2">
        <v>37</v>
      </c>
      <c r="C40" s="2" t="s">
        <v>96</v>
      </c>
      <c r="D40" s="2" t="s">
        <v>97</v>
      </c>
      <c r="E40" s="2">
        <v>1990</v>
      </c>
      <c r="F40" s="2" t="str">
        <f>IF(E40&gt;=1975,"A","B")</f>
        <v>A</v>
      </c>
      <c r="G40" s="3" t="s">
        <v>19</v>
      </c>
      <c r="H40" s="2" t="s">
        <v>98</v>
      </c>
      <c r="I40" s="4">
        <v>1.5395833333333335</v>
      </c>
    </row>
    <row r="41" spans="1:9" x14ac:dyDescent="0.5">
      <c r="A41" s="2"/>
      <c r="B41" s="2">
        <v>38</v>
      </c>
      <c r="C41" s="2" t="s">
        <v>99</v>
      </c>
      <c r="D41" s="2" t="s">
        <v>100</v>
      </c>
      <c r="E41" s="2">
        <v>1995</v>
      </c>
      <c r="F41" s="2" t="str">
        <f>IF(E41&lt;=1954,"D",IF(E41&lt;=1964,"C",IF(E41&lt;=1974,"B","A")))</f>
        <v>A</v>
      </c>
      <c r="G41" s="3" t="s">
        <v>11</v>
      </c>
      <c r="H41" s="2" t="s">
        <v>101</v>
      </c>
      <c r="I41" s="4">
        <v>1.4777777777777779</v>
      </c>
    </row>
    <row r="42" spans="1:9" x14ac:dyDescent="0.5">
      <c r="A42" s="2"/>
      <c r="B42" s="2">
        <v>39</v>
      </c>
      <c r="C42" s="2" t="s">
        <v>102</v>
      </c>
      <c r="D42" s="2" t="s">
        <v>103</v>
      </c>
      <c r="E42" s="2">
        <v>1978</v>
      </c>
      <c r="F42" s="2" t="str">
        <f>IF(E42&lt;=1954,"D",IF(E42&lt;=1964,"C",IF(E42&lt;=1974,"B","A")))</f>
        <v>A</v>
      </c>
      <c r="G42" s="3" t="s">
        <v>11</v>
      </c>
      <c r="H42" s="2" t="s">
        <v>104</v>
      </c>
      <c r="I42" s="4">
        <v>1.6923611111111112</v>
      </c>
    </row>
    <row r="43" spans="1:9" x14ac:dyDescent="0.5">
      <c r="A43" s="2"/>
      <c r="B43" s="2">
        <v>40</v>
      </c>
      <c r="C43" s="2" t="s">
        <v>43</v>
      </c>
      <c r="D43" s="2" t="s">
        <v>105</v>
      </c>
      <c r="E43" s="2">
        <v>1944</v>
      </c>
      <c r="F43" s="2" t="str">
        <f>IF(E43&lt;=1954,"D",IF(E43&lt;=1964,"C",IF(E43&lt;=1974,"B","A")))</f>
        <v>D</v>
      </c>
      <c r="G43" s="3" t="s">
        <v>11</v>
      </c>
      <c r="H43" s="2" t="s">
        <v>106</v>
      </c>
      <c r="I43" s="4">
        <v>1.8701388888888888</v>
      </c>
    </row>
    <row r="44" spans="1:9" x14ac:dyDescent="0.5">
      <c r="A44" s="2"/>
      <c r="B44" s="2">
        <v>41</v>
      </c>
      <c r="C44" s="2" t="s">
        <v>107</v>
      </c>
      <c r="D44" s="2" t="s">
        <v>108</v>
      </c>
      <c r="E44" s="2">
        <v>1991</v>
      </c>
      <c r="F44" s="2" t="str">
        <f>IF(E44&gt;=1975,"A","B")</f>
        <v>A</v>
      </c>
      <c r="G44" s="3" t="s">
        <v>19</v>
      </c>
      <c r="H44" s="2" t="s">
        <v>12</v>
      </c>
      <c r="I44" s="4">
        <v>1.6076388888888891</v>
      </c>
    </row>
    <row r="45" spans="1:9" x14ac:dyDescent="0.5">
      <c r="A45" s="2"/>
      <c r="B45" s="2">
        <v>42</v>
      </c>
      <c r="C45" s="2" t="s">
        <v>109</v>
      </c>
      <c r="D45" s="2" t="s">
        <v>110</v>
      </c>
      <c r="E45" s="2">
        <v>1981</v>
      </c>
      <c r="F45" s="2" t="str">
        <f>IF(E45&lt;=1954,"D",IF(E45&lt;=1964,"C",IF(E45&lt;=1974,"B","A")))</f>
        <v>A</v>
      </c>
      <c r="G45" s="3" t="s">
        <v>11</v>
      </c>
      <c r="H45" s="2" t="s">
        <v>16</v>
      </c>
      <c r="I45" s="4">
        <v>1.8423611111111111</v>
      </c>
    </row>
    <row r="46" spans="1:9" x14ac:dyDescent="0.5">
      <c r="A46" s="2"/>
      <c r="B46" s="2">
        <v>43</v>
      </c>
      <c r="C46" s="2" t="s">
        <v>111</v>
      </c>
      <c r="D46" s="2" t="s">
        <v>112</v>
      </c>
      <c r="E46" s="2">
        <v>1973</v>
      </c>
      <c r="F46" s="2" t="str">
        <f>IF(E46&lt;=1954,"D",IF(E46&lt;=1964,"C",IF(E46&lt;=1974,"B","A")))</f>
        <v>B</v>
      </c>
      <c r="G46" s="3" t="s">
        <v>11</v>
      </c>
      <c r="H46" s="2" t="s">
        <v>16</v>
      </c>
      <c r="I46" s="4">
        <v>1.8069444444444445</v>
      </c>
    </row>
    <row r="47" spans="1:9" x14ac:dyDescent="0.5">
      <c r="A47" s="2"/>
      <c r="B47" s="2">
        <v>44</v>
      </c>
      <c r="C47" s="2" t="s">
        <v>113</v>
      </c>
      <c r="D47" s="2" t="s">
        <v>114</v>
      </c>
      <c r="E47" s="2">
        <v>1958</v>
      </c>
      <c r="F47" s="2" t="str">
        <f>IF(E47&lt;=1954,"D",IF(E47&lt;=1964,"C",IF(E47&lt;=1974,"B","A")))</f>
        <v>C</v>
      </c>
      <c r="G47" s="3" t="s">
        <v>11</v>
      </c>
      <c r="H47" s="2" t="s">
        <v>115</v>
      </c>
      <c r="I47" s="4">
        <v>1.5847222222222221</v>
      </c>
    </row>
    <row r="48" spans="1:9" x14ac:dyDescent="0.5">
      <c r="A48" s="2"/>
      <c r="B48" s="2">
        <v>45</v>
      </c>
      <c r="C48" s="2" t="s">
        <v>116</v>
      </c>
      <c r="D48" s="2" t="s">
        <v>117</v>
      </c>
      <c r="E48" s="2">
        <v>1973</v>
      </c>
      <c r="F48" s="2" t="str">
        <f>IF(E48&lt;=1954,"D",IF(E48&lt;=1964,"C",IF(E48&lt;=1974,"B","A")))</f>
        <v>B</v>
      </c>
      <c r="G48" s="3" t="s">
        <v>11</v>
      </c>
      <c r="H48" s="2" t="s">
        <v>16</v>
      </c>
      <c r="I48" s="4">
        <v>1.6666666666666667</v>
      </c>
    </row>
    <row r="49" spans="1:9" x14ac:dyDescent="0.5">
      <c r="A49" s="2"/>
      <c r="B49" s="2">
        <v>46</v>
      </c>
      <c r="C49" s="2" t="s">
        <v>118</v>
      </c>
      <c r="D49" s="2" t="s">
        <v>119</v>
      </c>
      <c r="E49" s="2">
        <v>1997</v>
      </c>
      <c r="F49" s="2" t="str">
        <f>IF(E49&gt;=1975,"A","B")</f>
        <v>A</v>
      </c>
      <c r="G49" s="3" t="s">
        <v>19</v>
      </c>
      <c r="H49" s="2" t="s">
        <v>12</v>
      </c>
      <c r="I49" s="4">
        <v>1.7430555555555556</v>
      </c>
    </row>
    <row r="50" spans="1:9" x14ac:dyDescent="0.5">
      <c r="A50" s="2"/>
      <c r="B50" s="2">
        <v>47</v>
      </c>
      <c r="C50" s="2" t="s">
        <v>120</v>
      </c>
      <c r="D50" s="2" t="s">
        <v>121</v>
      </c>
      <c r="E50" s="2">
        <v>1963</v>
      </c>
      <c r="F50" s="2" t="str">
        <f t="shared" ref="F50:F55" si="1">IF(E50&lt;=1954,"D",IF(E50&lt;=1964,"C",IF(E50&lt;=1974,"B","A")))</f>
        <v>C</v>
      </c>
      <c r="G50" s="3" t="s">
        <v>11</v>
      </c>
      <c r="H50" s="2" t="s">
        <v>122</v>
      </c>
      <c r="I50" s="4">
        <v>1.5444444444444445</v>
      </c>
    </row>
    <row r="51" spans="1:9" x14ac:dyDescent="0.5">
      <c r="A51" s="2"/>
      <c r="B51" s="2">
        <v>48</v>
      </c>
      <c r="C51" s="2" t="s">
        <v>123</v>
      </c>
      <c r="D51" s="2" t="s">
        <v>124</v>
      </c>
      <c r="E51" s="2">
        <v>1970</v>
      </c>
      <c r="F51" s="2" t="str">
        <f t="shared" si="1"/>
        <v>B</v>
      </c>
      <c r="G51" s="3" t="s">
        <v>11</v>
      </c>
      <c r="H51" s="2" t="s">
        <v>125</v>
      </c>
      <c r="I51" s="4">
        <v>1.2611111111111111</v>
      </c>
    </row>
    <row r="52" spans="1:9" x14ac:dyDescent="0.5">
      <c r="A52" s="2"/>
      <c r="B52" s="2">
        <v>49</v>
      </c>
      <c r="C52" s="2" t="s">
        <v>32</v>
      </c>
      <c r="D52" s="2" t="s">
        <v>126</v>
      </c>
      <c r="E52" s="2">
        <v>1937</v>
      </c>
      <c r="F52" s="2" t="str">
        <f t="shared" si="1"/>
        <v>D</v>
      </c>
      <c r="G52" s="3" t="s">
        <v>11</v>
      </c>
      <c r="H52" s="2" t="s">
        <v>127</v>
      </c>
      <c r="I52" s="4">
        <v>2.0472222222222221</v>
      </c>
    </row>
    <row r="53" spans="1:9" x14ac:dyDescent="0.5">
      <c r="A53" s="2"/>
      <c r="B53" s="2">
        <v>50</v>
      </c>
      <c r="C53" s="2" t="s">
        <v>49</v>
      </c>
      <c r="D53" s="2" t="s">
        <v>128</v>
      </c>
      <c r="E53" s="2">
        <v>1971</v>
      </c>
      <c r="F53" s="2" t="str">
        <f t="shared" si="1"/>
        <v>B</v>
      </c>
      <c r="G53" s="3" t="s">
        <v>11</v>
      </c>
      <c r="H53" s="2" t="s">
        <v>129</v>
      </c>
      <c r="I53" s="4">
        <v>1.5326388888888889</v>
      </c>
    </row>
    <row r="54" spans="1:9" x14ac:dyDescent="0.5">
      <c r="A54" s="2"/>
      <c r="B54" s="2">
        <v>51</v>
      </c>
      <c r="C54" s="2" t="s">
        <v>43</v>
      </c>
      <c r="D54" s="2" t="s">
        <v>130</v>
      </c>
      <c r="E54" s="2">
        <v>1948</v>
      </c>
      <c r="F54" s="2" t="str">
        <f t="shared" si="1"/>
        <v>D</v>
      </c>
      <c r="G54" s="3" t="s">
        <v>11</v>
      </c>
      <c r="H54" s="2" t="s">
        <v>131</v>
      </c>
      <c r="I54" s="4">
        <v>1.7347222222222223</v>
      </c>
    </row>
    <row r="55" spans="1:9" x14ac:dyDescent="0.5">
      <c r="A55" s="2"/>
      <c r="B55" s="2">
        <v>52</v>
      </c>
      <c r="C55" s="2" t="s">
        <v>132</v>
      </c>
      <c r="D55" s="2" t="s">
        <v>133</v>
      </c>
      <c r="E55" s="2">
        <v>1982</v>
      </c>
      <c r="F55" s="2" t="str">
        <f t="shared" si="1"/>
        <v>A</v>
      </c>
      <c r="G55" s="3" t="s">
        <v>11</v>
      </c>
      <c r="H55" s="2" t="s">
        <v>134</v>
      </c>
      <c r="I55" s="4">
        <v>1.471527777777778</v>
      </c>
    </row>
    <row r="56" spans="1:9" x14ac:dyDescent="0.5">
      <c r="A56" s="2"/>
      <c r="B56" s="2">
        <v>53</v>
      </c>
      <c r="C56" s="2" t="s">
        <v>135</v>
      </c>
      <c r="D56" s="2" t="s">
        <v>18</v>
      </c>
      <c r="E56" s="2">
        <v>1985</v>
      </c>
      <c r="F56" s="2" t="str">
        <f>IF(E56&gt;=1975,"A","B")</f>
        <v>A</v>
      </c>
      <c r="G56" s="3" t="s">
        <v>19</v>
      </c>
      <c r="H56" s="2" t="s">
        <v>20</v>
      </c>
      <c r="I56" s="4">
        <v>1.6722222222222223</v>
      </c>
    </row>
    <row r="57" spans="1:9" x14ac:dyDescent="0.5">
      <c r="A57" s="2"/>
      <c r="B57" s="2">
        <v>54</v>
      </c>
      <c r="C57" s="2" t="s">
        <v>62</v>
      </c>
      <c r="D57" s="2" t="s">
        <v>136</v>
      </c>
      <c r="E57" s="2">
        <v>1997</v>
      </c>
      <c r="F57" s="2" t="str">
        <f>IF(E57&lt;=1954,"D",IF(E57&lt;=1964,"C",IF(E57&lt;=1974,"B","A")))</f>
        <v>A</v>
      </c>
      <c r="G57" s="3" t="s">
        <v>11</v>
      </c>
      <c r="H57" s="2" t="s">
        <v>137</v>
      </c>
      <c r="I57" s="4">
        <v>1.2437500000000001</v>
      </c>
    </row>
    <row r="58" spans="1:9" x14ac:dyDescent="0.5">
      <c r="A58" s="2"/>
      <c r="B58" s="2">
        <v>55</v>
      </c>
      <c r="C58" s="2" t="s">
        <v>102</v>
      </c>
      <c r="D58" s="2" t="s">
        <v>138</v>
      </c>
      <c r="E58" s="2">
        <v>1960</v>
      </c>
      <c r="F58" s="2" t="str">
        <f>IF(E58&lt;=1954,"D",IF(E58&lt;=1964,"C",IF(E58&lt;=1974,"B","A")))</f>
        <v>C</v>
      </c>
      <c r="G58" s="3" t="s">
        <v>11</v>
      </c>
      <c r="H58" s="2" t="s">
        <v>139</v>
      </c>
      <c r="I58" s="5">
        <v>1.8770833333333332</v>
      </c>
    </row>
    <row r="59" spans="1:9" x14ac:dyDescent="0.5">
      <c r="A59" s="2"/>
      <c r="B59" s="2">
        <v>56</v>
      </c>
      <c r="C59" s="2" t="s">
        <v>140</v>
      </c>
      <c r="D59" s="2" t="s">
        <v>141</v>
      </c>
      <c r="E59" s="2">
        <v>1972</v>
      </c>
      <c r="F59" s="2" t="str">
        <f>IF(E59&lt;=1954,"D",IF(E59&lt;=1964,"C",IF(E59&lt;=1974,"B","A")))</f>
        <v>B</v>
      </c>
      <c r="G59" s="3" t="s">
        <v>11</v>
      </c>
      <c r="H59" s="2" t="s">
        <v>125</v>
      </c>
      <c r="I59" s="4">
        <v>1.2104166666666667</v>
      </c>
    </row>
    <row r="60" spans="1:9" x14ac:dyDescent="0.5">
      <c r="A60" s="2"/>
      <c r="B60" s="2">
        <v>57</v>
      </c>
      <c r="C60" s="2" t="s">
        <v>142</v>
      </c>
      <c r="D60" s="2" t="s">
        <v>143</v>
      </c>
      <c r="E60" s="2">
        <v>1978</v>
      </c>
      <c r="F60" s="2" t="str">
        <f>IF(E60&gt;=1975,"A","B")</f>
        <v>A</v>
      </c>
      <c r="G60" s="3" t="s">
        <v>19</v>
      </c>
      <c r="H60" s="2" t="s">
        <v>144</v>
      </c>
      <c r="I60" s="4">
        <v>1.3770833333333332</v>
      </c>
    </row>
    <row r="61" spans="1:9" x14ac:dyDescent="0.5">
      <c r="A61" s="2"/>
      <c r="B61" s="2">
        <v>58</v>
      </c>
      <c r="C61" s="2" t="s">
        <v>109</v>
      </c>
      <c r="D61" s="2" t="s">
        <v>145</v>
      </c>
      <c r="E61" s="2">
        <v>1983</v>
      </c>
      <c r="F61" s="2" t="str">
        <f>IF(E61&lt;=1954,"D",IF(E61&lt;=1964,"C",IF(E61&lt;=1974,"B","A")))</f>
        <v>A</v>
      </c>
      <c r="G61" s="3" t="s">
        <v>11</v>
      </c>
      <c r="H61" s="2" t="s">
        <v>16</v>
      </c>
      <c r="I61" s="4">
        <v>1.3506944444444444</v>
      </c>
    </row>
    <row r="62" spans="1:9" x14ac:dyDescent="0.5">
      <c r="A62" s="2"/>
      <c r="B62" s="2">
        <v>59</v>
      </c>
      <c r="C62" s="2" t="s">
        <v>37</v>
      </c>
      <c r="D62" s="2" t="s">
        <v>146</v>
      </c>
      <c r="E62" s="2">
        <v>1979</v>
      </c>
      <c r="F62" s="2" t="str">
        <f>IF(E62&lt;=1954,"D",IF(E62&lt;=1964,"C",IF(E62&lt;=1974,"B","A")))</f>
        <v>A</v>
      </c>
      <c r="G62" s="3" t="s">
        <v>11</v>
      </c>
      <c r="H62" s="2" t="s">
        <v>147</v>
      </c>
      <c r="I62" s="4">
        <v>1.3805555555555555</v>
      </c>
    </row>
    <row r="63" spans="1:9" x14ac:dyDescent="0.5">
      <c r="A63" s="2"/>
      <c r="B63" s="2">
        <v>60</v>
      </c>
      <c r="C63" s="2" t="s">
        <v>46</v>
      </c>
      <c r="D63" s="2" t="s">
        <v>148</v>
      </c>
      <c r="E63" s="2">
        <v>1984</v>
      </c>
      <c r="F63" s="2" t="str">
        <f>IF(E63&lt;=1954,"D",IF(E63&lt;=1964,"C",IF(E63&lt;=1974,"B","A")))</f>
        <v>A</v>
      </c>
      <c r="G63" s="3" t="s">
        <v>11</v>
      </c>
      <c r="H63" s="2" t="s">
        <v>29</v>
      </c>
      <c r="I63" s="4">
        <v>1.2555555555555555</v>
      </c>
    </row>
    <row r="64" spans="1:9" x14ac:dyDescent="0.5">
      <c r="A64" s="2"/>
      <c r="B64" s="2">
        <v>61</v>
      </c>
      <c r="C64" s="2" t="s">
        <v>149</v>
      </c>
      <c r="D64" s="2" t="s">
        <v>150</v>
      </c>
      <c r="E64" s="2">
        <v>1993</v>
      </c>
      <c r="F64" s="2" t="str">
        <f>IF(E64&gt;=1975,"A","B")</f>
        <v>A</v>
      </c>
      <c r="G64" s="3" t="s">
        <v>19</v>
      </c>
      <c r="H64" s="2" t="s">
        <v>16</v>
      </c>
      <c r="I64" s="4">
        <v>1.8055555555555556</v>
      </c>
    </row>
    <row r="65" spans="1:9" x14ac:dyDescent="0.5">
      <c r="A65" s="2"/>
      <c r="B65" s="2">
        <v>62</v>
      </c>
      <c r="C65" s="2" t="s">
        <v>116</v>
      </c>
      <c r="D65" s="2" t="s">
        <v>151</v>
      </c>
      <c r="E65" s="2">
        <v>1961</v>
      </c>
      <c r="F65" s="2" t="str">
        <f t="shared" ref="F65:F72" si="2">IF(E65&lt;=1954,"D",IF(E65&lt;=1964,"C",IF(E65&lt;=1974,"B","A")))</f>
        <v>C</v>
      </c>
      <c r="G65" s="3" t="s">
        <v>11</v>
      </c>
      <c r="H65" s="2" t="s">
        <v>152</v>
      </c>
      <c r="I65" s="4">
        <v>1.877777777777778</v>
      </c>
    </row>
    <row r="66" spans="1:9" x14ac:dyDescent="0.5">
      <c r="A66" s="2"/>
      <c r="B66" s="2">
        <v>63</v>
      </c>
      <c r="C66" s="2" t="s">
        <v>153</v>
      </c>
      <c r="D66" s="2" t="s">
        <v>154</v>
      </c>
      <c r="E66" s="2">
        <v>1986</v>
      </c>
      <c r="F66" s="2" t="str">
        <f t="shared" si="2"/>
        <v>A</v>
      </c>
      <c r="G66" s="3" t="s">
        <v>11</v>
      </c>
      <c r="H66" s="2" t="s">
        <v>16</v>
      </c>
      <c r="I66" s="4">
        <v>1.6263888888888889</v>
      </c>
    </row>
    <row r="67" spans="1:9" x14ac:dyDescent="0.5">
      <c r="A67" s="2"/>
      <c r="B67" s="2">
        <v>64</v>
      </c>
      <c r="C67" s="2" t="s">
        <v>155</v>
      </c>
      <c r="D67" s="2" t="s">
        <v>156</v>
      </c>
      <c r="E67" s="2">
        <v>1978</v>
      </c>
      <c r="F67" s="2" t="str">
        <f t="shared" si="2"/>
        <v>A</v>
      </c>
      <c r="G67" s="3" t="s">
        <v>11</v>
      </c>
      <c r="H67" s="2" t="s">
        <v>36</v>
      </c>
      <c r="I67" s="4">
        <v>1.4625000000000001</v>
      </c>
    </row>
    <row r="68" spans="1:9" x14ac:dyDescent="0.5">
      <c r="A68" s="2"/>
      <c r="B68" s="2">
        <v>65</v>
      </c>
      <c r="C68" s="2" t="s">
        <v>157</v>
      </c>
      <c r="D68" s="2" t="s">
        <v>158</v>
      </c>
      <c r="E68" s="2">
        <v>1971</v>
      </c>
      <c r="F68" s="2" t="str">
        <f t="shared" si="2"/>
        <v>B</v>
      </c>
      <c r="G68" s="3" t="s">
        <v>11</v>
      </c>
      <c r="H68" s="2" t="s">
        <v>36</v>
      </c>
      <c r="I68" s="4">
        <v>1.4229166666666666</v>
      </c>
    </row>
    <row r="69" spans="1:9" x14ac:dyDescent="0.5">
      <c r="A69" s="2"/>
      <c r="B69" s="2">
        <v>66</v>
      </c>
      <c r="C69" s="2" t="s">
        <v>159</v>
      </c>
      <c r="D69" s="2" t="s">
        <v>160</v>
      </c>
      <c r="E69" s="2">
        <v>1970</v>
      </c>
      <c r="F69" s="2" t="str">
        <f t="shared" si="2"/>
        <v>B</v>
      </c>
      <c r="G69" s="3" t="s">
        <v>11</v>
      </c>
      <c r="H69" s="2" t="s">
        <v>161</v>
      </c>
      <c r="I69" s="4">
        <v>1.1763888888888889</v>
      </c>
    </row>
    <row r="70" spans="1:9" x14ac:dyDescent="0.5">
      <c r="A70" s="2"/>
      <c r="B70" s="2">
        <v>67</v>
      </c>
      <c r="C70" s="2" t="s">
        <v>162</v>
      </c>
      <c r="D70" s="2" t="s">
        <v>163</v>
      </c>
      <c r="E70" s="2">
        <v>1958</v>
      </c>
      <c r="F70" s="2" t="str">
        <f t="shared" si="2"/>
        <v>C</v>
      </c>
      <c r="G70" s="3" t="s">
        <v>11</v>
      </c>
      <c r="H70" s="2" t="s">
        <v>29</v>
      </c>
      <c r="I70" s="4">
        <v>1.4145833333333335</v>
      </c>
    </row>
    <row r="71" spans="1:9" x14ac:dyDescent="0.5">
      <c r="A71" s="2"/>
      <c r="B71" s="2">
        <v>68</v>
      </c>
      <c r="C71" s="2" t="s">
        <v>162</v>
      </c>
      <c r="D71" s="2" t="s">
        <v>164</v>
      </c>
      <c r="E71" s="2">
        <v>1965</v>
      </c>
      <c r="F71" s="2" t="str">
        <f t="shared" si="2"/>
        <v>B</v>
      </c>
      <c r="G71" s="3" t="s">
        <v>11</v>
      </c>
      <c r="H71" s="2" t="s">
        <v>165</v>
      </c>
      <c r="I71" s="4">
        <v>1.4798611111111111</v>
      </c>
    </row>
    <row r="72" spans="1:9" x14ac:dyDescent="0.5">
      <c r="A72" s="2"/>
      <c r="B72" s="2">
        <v>69</v>
      </c>
      <c r="C72" s="2" t="s">
        <v>166</v>
      </c>
      <c r="D72" s="2" t="s">
        <v>167</v>
      </c>
      <c r="E72" s="2">
        <v>1983</v>
      </c>
      <c r="F72" s="2" t="str">
        <f t="shared" si="2"/>
        <v>A</v>
      </c>
      <c r="G72" s="3" t="s">
        <v>11</v>
      </c>
      <c r="H72" s="2" t="s">
        <v>168</v>
      </c>
      <c r="I72" s="4">
        <v>1.242361111111111</v>
      </c>
    </row>
    <row r="73" spans="1:9" x14ac:dyDescent="0.5">
      <c r="A73" s="2"/>
      <c r="B73" s="2">
        <v>70</v>
      </c>
      <c r="C73" s="2" t="s">
        <v>169</v>
      </c>
      <c r="D73" s="2" t="s">
        <v>170</v>
      </c>
      <c r="E73" s="2">
        <v>1980</v>
      </c>
      <c r="F73" s="2" t="str">
        <f>IF(E73&gt;=1975,"A","B")</f>
        <v>A</v>
      </c>
      <c r="G73" s="3" t="s">
        <v>19</v>
      </c>
      <c r="H73" s="2" t="s">
        <v>16</v>
      </c>
      <c r="I73" s="4">
        <v>1.4861111111111109</v>
      </c>
    </row>
    <row r="74" spans="1:9" x14ac:dyDescent="0.5">
      <c r="A74" s="2"/>
      <c r="B74" s="2">
        <v>71</v>
      </c>
      <c r="C74" s="2" t="s">
        <v>43</v>
      </c>
      <c r="D74" s="2" t="s">
        <v>171</v>
      </c>
      <c r="E74" s="2">
        <v>1967</v>
      </c>
      <c r="F74" s="2" t="str">
        <f>IF(E74&lt;=1954,"D",IF(E74&lt;=1964,"C",IF(E74&lt;=1974,"B","A")))</f>
        <v>B</v>
      </c>
      <c r="G74" s="3" t="s">
        <v>11</v>
      </c>
      <c r="H74" s="2" t="s">
        <v>172</v>
      </c>
      <c r="I74" s="4">
        <v>1.5708333333333335</v>
      </c>
    </row>
    <row r="75" spans="1:9" x14ac:dyDescent="0.5">
      <c r="A75" s="2"/>
      <c r="B75" s="2">
        <v>72</v>
      </c>
      <c r="C75" s="2" t="s">
        <v>173</v>
      </c>
      <c r="D75" s="2" t="s">
        <v>174</v>
      </c>
      <c r="E75" s="2">
        <v>1982</v>
      </c>
      <c r="F75" s="2" t="str">
        <f>IF(E75&gt;=1975,"A","B")</f>
        <v>A</v>
      </c>
      <c r="G75" s="3" t="s">
        <v>19</v>
      </c>
      <c r="H75" s="2" t="s">
        <v>16</v>
      </c>
      <c r="I75" s="4">
        <v>1.7034722222222223</v>
      </c>
    </row>
    <row r="76" spans="1:9" x14ac:dyDescent="0.5">
      <c r="A76" s="2"/>
      <c r="B76" s="2">
        <v>73</v>
      </c>
      <c r="C76" s="2" t="s">
        <v>79</v>
      </c>
      <c r="D76" s="2" t="s">
        <v>158</v>
      </c>
      <c r="E76" s="2">
        <v>1991</v>
      </c>
      <c r="F76" s="2" t="str">
        <f>IF(E76&lt;=1954,"D",IF(E76&lt;=1964,"C",IF(E76&lt;=1974,"B","A")))</f>
        <v>A</v>
      </c>
      <c r="G76" s="3" t="s">
        <v>11</v>
      </c>
      <c r="H76" s="2" t="s">
        <v>36</v>
      </c>
      <c r="I76" s="4">
        <v>1.4305555555555556</v>
      </c>
    </row>
    <row r="77" spans="1:9" x14ac:dyDescent="0.5">
      <c r="A77" s="2"/>
      <c r="B77" s="2">
        <v>74</v>
      </c>
      <c r="C77" s="2" t="s">
        <v>175</v>
      </c>
      <c r="D77" s="2" t="s">
        <v>176</v>
      </c>
      <c r="E77" s="2">
        <v>1972</v>
      </c>
      <c r="F77" s="2" t="str">
        <f>IF(E77&gt;=1975,"A","B")</f>
        <v>B</v>
      </c>
      <c r="G77" s="3" t="s">
        <v>19</v>
      </c>
      <c r="H77" s="2" t="s">
        <v>16</v>
      </c>
      <c r="I77" s="4">
        <v>1.6340277777777779</v>
      </c>
    </row>
    <row r="78" spans="1:9" x14ac:dyDescent="0.5">
      <c r="A78" s="2"/>
      <c r="B78" s="2">
        <v>75</v>
      </c>
      <c r="C78" s="2" t="s">
        <v>162</v>
      </c>
      <c r="D78" s="2" t="s">
        <v>10</v>
      </c>
      <c r="E78" s="2">
        <v>1962</v>
      </c>
      <c r="F78" s="2" t="str">
        <f t="shared" ref="F78:F109" si="3">IF(E78&lt;=1954,"D",IF(E78&lt;=1964,"C",IF(E78&lt;=1974,"B","A")))</f>
        <v>C</v>
      </c>
      <c r="G78" s="3" t="s">
        <v>11</v>
      </c>
      <c r="H78" s="2" t="s">
        <v>16</v>
      </c>
      <c r="I78" s="4">
        <v>1.559722222222222</v>
      </c>
    </row>
    <row r="79" spans="1:9" x14ac:dyDescent="0.5">
      <c r="A79" s="2"/>
      <c r="B79" s="2">
        <v>76</v>
      </c>
      <c r="C79" s="2" t="s">
        <v>177</v>
      </c>
      <c r="D79" s="2" t="s">
        <v>178</v>
      </c>
      <c r="E79" s="2">
        <v>1966</v>
      </c>
      <c r="F79" s="2" t="str">
        <f t="shared" si="3"/>
        <v>B</v>
      </c>
      <c r="G79" s="3" t="s">
        <v>11</v>
      </c>
      <c r="H79" s="2" t="s">
        <v>125</v>
      </c>
      <c r="I79" s="4">
        <v>1.3993055555555556</v>
      </c>
    </row>
    <row r="80" spans="1:9" x14ac:dyDescent="0.5">
      <c r="A80" s="2"/>
      <c r="B80" s="2">
        <v>77</v>
      </c>
      <c r="C80" s="2" t="s">
        <v>43</v>
      </c>
      <c r="D80" s="2" t="s">
        <v>121</v>
      </c>
      <c r="E80" s="2">
        <v>1964</v>
      </c>
      <c r="F80" s="2" t="str">
        <f t="shared" si="3"/>
        <v>C</v>
      </c>
      <c r="G80" s="3" t="s">
        <v>11</v>
      </c>
      <c r="H80" s="2" t="s">
        <v>179</v>
      </c>
      <c r="I80" s="4">
        <v>1.7249999999999999</v>
      </c>
    </row>
    <row r="81" spans="1:9" x14ac:dyDescent="0.5">
      <c r="A81" s="2"/>
      <c r="B81" s="2">
        <v>78</v>
      </c>
      <c r="C81" s="2" t="s">
        <v>180</v>
      </c>
      <c r="D81" s="2" t="s">
        <v>181</v>
      </c>
      <c r="E81" s="2">
        <v>1965</v>
      </c>
      <c r="F81" s="2" t="str">
        <f t="shared" si="3"/>
        <v>B</v>
      </c>
      <c r="G81" s="3" t="s">
        <v>11</v>
      </c>
      <c r="H81" s="2" t="s">
        <v>36</v>
      </c>
      <c r="I81" s="4">
        <v>1.3756944444444443</v>
      </c>
    </row>
    <row r="82" spans="1:9" x14ac:dyDescent="0.5">
      <c r="A82" s="2"/>
      <c r="B82" s="2">
        <v>79</v>
      </c>
      <c r="C82" s="2" t="s">
        <v>49</v>
      </c>
      <c r="D82" s="2" t="s">
        <v>182</v>
      </c>
      <c r="E82" s="2">
        <v>1979</v>
      </c>
      <c r="F82" s="2" t="str">
        <f t="shared" si="3"/>
        <v>A</v>
      </c>
      <c r="G82" s="3" t="s">
        <v>11</v>
      </c>
      <c r="H82" s="2" t="s">
        <v>29</v>
      </c>
      <c r="I82" s="4">
        <v>1.3604166666666666</v>
      </c>
    </row>
    <row r="83" spans="1:9" x14ac:dyDescent="0.5">
      <c r="A83" s="2"/>
      <c r="B83" s="2">
        <v>80</v>
      </c>
      <c r="C83" s="2" t="s">
        <v>74</v>
      </c>
      <c r="D83" s="2" t="s">
        <v>183</v>
      </c>
      <c r="E83" s="2">
        <v>1986</v>
      </c>
      <c r="F83" s="2" t="str">
        <f t="shared" si="3"/>
        <v>A</v>
      </c>
      <c r="G83" s="3" t="s">
        <v>11</v>
      </c>
      <c r="H83" s="2" t="s">
        <v>16</v>
      </c>
      <c r="I83" s="4">
        <v>1.2458333333333333</v>
      </c>
    </row>
    <row r="84" spans="1:9" x14ac:dyDescent="0.5">
      <c r="A84" s="2"/>
      <c r="B84" s="2">
        <v>81</v>
      </c>
      <c r="C84" s="2" t="s">
        <v>123</v>
      </c>
      <c r="D84" s="2" t="s">
        <v>184</v>
      </c>
      <c r="E84" s="2">
        <v>1955</v>
      </c>
      <c r="F84" s="2" t="str">
        <f t="shared" si="3"/>
        <v>C</v>
      </c>
      <c r="G84" s="3" t="s">
        <v>11</v>
      </c>
      <c r="H84" s="2" t="s">
        <v>185</v>
      </c>
      <c r="I84" s="4">
        <v>1.7652777777777777</v>
      </c>
    </row>
    <row r="85" spans="1:9" x14ac:dyDescent="0.5">
      <c r="A85" s="2"/>
      <c r="B85" s="2">
        <v>82</v>
      </c>
      <c r="C85" s="2" t="s">
        <v>186</v>
      </c>
      <c r="D85" s="2" t="s">
        <v>187</v>
      </c>
      <c r="E85" s="2">
        <v>1961</v>
      </c>
      <c r="F85" s="2" t="str">
        <f t="shared" si="3"/>
        <v>C</v>
      </c>
      <c r="G85" s="3" t="s">
        <v>11</v>
      </c>
      <c r="H85" s="2" t="s">
        <v>125</v>
      </c>
      <c r="I85" s="4">
        <v>1.875</v>
      </c>
    </row>
    <row r="86" spans="1:9" x14ac:dyDescent="0.5">
      <c r="A86" s="2"/>
      <c r="B86" s="2">
        <v>83</v>
      </c>
      <c r="C86" s="2" t="s">
        <v>188</v>
      </c>
      <c r="D86" s="2" t="s">
        <v>189</v>
      </c>
      <c r="E86" s="2">
        <v>1982</v>
      </c>
      <c r="F86" s="2" t="str">
        <f t="shared" si="3"/>
        <v>A</v>
      </c>
      <c r="G86" s="3" t="s">
        <v>11</v>
      </c>
      <c r="H86" s="2" t="s">
        <v>16</v>
      </c>
      <c r="I86" s="4">
        <v>1.7534722222222223</v>
      </c>
    </row>
    <row r="87" spans="1:9" x14ac:dyDescent="0.5">
      <c r="A87" s="2"/>
      <c r="B87" s="2">
        <v>84</v>
      </c>
      <c r="C87" s="2" t="s">
        <v>49</v>
      </c>
      <c r="D87" s="2" t="s">
        <v>190</v>
      </c>
      <c r="E87" s="2">
        <v>1973</v>
      </c>
      <c r="F87" s="2" t="str">
        <f t="shared" si="3"/>
        <v>B</v>
      </c>
      <c r="G87" s="3" t="s">
        <v>11</v>
      </c>
      <c r="H87" s="2" t="s">
        <v>191</v>
      </c>
      <c r="I87" s="4">
        <v>1.3499999999999999</v>
      </c>
    </row>
    <row r="88" spans="1:9" x14ac:dyDescent="0.5">
      <c r="A88" s="2"/>
      <c r="B88" s="2">
        <v>85</v>
      </c>
      <c r="C88" s="2" t="s">
        <v>25</v>
      </c>
      <c r="D88" s="2" t="s">
        <v>192</v>
      </c>
      <c r="E88" s="2">
        <v>1977</v>
      </c>
      <c r="F88" s="2" t="str">
        <f t="shared" si="3"/>
        <v>A</v>
      </c>
      <c r="G88" s="3" t="s">
        <v>11</v>
      </c>
      <c r="H88" s="2" t="s">
        <v>29</v>
      </c>
      <c r="I88" s="4">
        <v>1.1743055555555555</v>
      </c>
    </row>
    <row r="89" spans="1:9" x14ac:dyDescent="0.5">
      <c r="A89" s="2"/>
      <c r="B89" s="2">
        <v>86</v>
      </c>
      <c r="C89" s="2" t="s">
        <v>193</v>
      </c>
      <c r="D89" s="2" t="s">
        <v>194</v>
      </c>
      <c r="E89" s="2">
        <v>1962</v>
      </c>
      <c r="F89" s="2" t="str">
        <f t="shared" si="3"/>
        <v>C</v>
      </c>
      <c r="G89" s="3" t="s">
        <v>11</v>
      </c>
      <c r="H89" s="2" t="s">
        <v>131</v>
      </c>
      <c r="I89" s="4">
        <v>1.2284722222222222</v>
      </c>
    </row>
    <row r="90" spans="1:9" x14ac:dyDescent="0.5">
      <c r="A90" s="2"/>
      <c r="B90" s="2">
        <v>87</v>
      </c>
      <c r="C90" s="2" t="s">
        <v>195</v>
      </c>
      <c r="D90" s="2" t="s">
        <v>196</v>
      </c>
      <c r="E90" s="2">
        <v>1998</v>
      </c>
      <c r="F90" s="2" t="str">
        <f t="shared" si="3"/>
        <v>A</v>
      </c>
      <c r="G90" s="3" t="s">
        <v>11</v>
      </c>
      <c r="H90" s="2" t="s">
        <v>12</v>
      </c>
      <c r="I90" s="4">
        <v>1.3145833333333334</v>
      </c>
    </row>
    <row r="91" spans="1:9" x14ac:dyDescent="0.5">
      <c r="A91" s="2"/>
      <c r="B91" s="2">
        <v>88</v>
      </c>
      <c r="C91" s="2" t="s">
        <v>109</v>
      </c>
      <c r="D91" s="2" t="s">
        <v>197</v>
      </c>
      <c r="E91" s="2">
        <v>1971</v>
      </c>
      <c r="F91" s="2" t="str">
        <f t="shared" si="3"/>
        <v>B</v>
      </c>
      <c r="G91" s="3" t="s">
        <v>11</v>
      </c>
      <c r="H91" s="2" t="s">
        <v>198</v>
      </c>
      <c r="I91" s="4">
        <v>1.4305555555555556</v>
      </c>
    </row>
    <row r="92" spans="1:9" x14ac:dyDescent="0.5">
      <c r="A92" s="2"/>
      <c r="B92" s="2">
        <v>89</v>
      </c>
      <c r="C92" s="2" t="s">
        <v>199</v>
      </c>
      <c r="D92" s="2" t="s">
        <v>110</v>
      </c>
      <c r="E92" s="2">
        <v>1950</v>
      </c>
      <c r="F92" s="2" t="str">
        <f t="shared" si="3"/>
        <v>D</v>
      </c>
      <c r="G92" s="3" t="s">
        <v>11</v>
      </c>
      <c r="H92" s="2" t="s">
        <v>200</v>
      </c>
      <c r="I92" s="4">
        <v>2.004861111111111</v>
      </c>
    </row>
    <row r="93" spans="1:9" x14ac:dyDescent="0.5">
      <c r="A93" s="2"/>
      <c r="B93" s="2">
        <v>90</v>
      </c>
      <c r="C93" s="2" t="s">
        <v>43</v>
      </c>
      <c r="D93" s="2" t="s">
        <v>164</v>
      </c>
      <c r="E93" s="2">
        <v>1939</v>
      </c>
      <c r="F93" s="2" t="str">
        <f t="shared" si="3"/>
        <v>D</v>
      </c>
      <c r="G93" s="3" t="s">
        <v>11</v>
      </c>
      <c r="H93" s="2" t="s">
        <v>201</v>
      </c>
      <c r="I93" s="4">
        <v>1.8159722222222223</v>
      </c>
    </row>
    <row r="94" spans="1:9" x14ac:dyDescent="0.5">
      <c r="A94" s="2"/>
      <c r="B94" s="2">
        <v>91</v>
      </c>
      <c r="C94" s="2" t="s">
        <v>116</v>
      </c>
      <c r="D94" s="2" t="s">
        <v>202</v>
      </c>
      <c r="E94" s="2">
        <v>1965</v>
      </c>
      <c r="F94" s="2" t="str">
        <f t="shared" si="3"/>
        <v>B</v>
      </c>
      <c r="G94" s="3" t="s">
        <v>11</v>
      </c>
      <c r="H94" s="2" t="s">
        <v>16</v>
      </c>
      <c r="I94" s="4">
        <v>1.5819444444444446</v>
      </c>
    </row>
    <row r="95" spans="1:9" x14ac:dyDescent="0.5">
      <c r="A95" s="2"/>
      <c r="B95" s="2">
        <v>92</v>
      </c>
      <c r="C95" s="2" t="s">
        <v>188</v>
      </c>
      <c r="D95" s="2" t="s">
        <v>203</v>
      </c>
      <c r="E95" s="2">
        <v>1973</v>
      </c>
      <c r="F95" s="2" t="str">
        <f t="shared" si="3"/>
        <v>B</v>
      </c>
      <c r="G95" s="3" t="s">
        <v>11</v>
      </c>
      <c r="H95" s="2" t="s">
        <v>16</v>
      </c>
      <c r="I95" s="4">
        <v>1.6430555555555555</v>
      </c>
    </row>
    <row r="96" spans="1:9" x14ac:dyDescent="0.5">
      <c r="A96" s="2"/>
      <c r="B96" s="2">
        <v>93</v>
      </c>
      <c r="C96" s="2" t="s">
        <v>102</v>
      </c>
      <c r="D96" s="2" t="s">
        <v>204</v>
      </c>
      <c r="E96" s="2">
        <v>1965</v>
      </c>
      <c r="F96" s="2" t="str">
        <f t="shared" si="3"/>
        <v>B</v>
      </c>
      <c r="G96" s="3" t="s">
        <v>11</v>
      </c>
      <c r="H96" s="2" t="s">
        <v>205</v>
      </c>
      <c r="I96" s="4">
        <v>1.5506944444444446</v>
      </c>
    </row>
    <row r="97" spans="1:9" x14ac:dyDescent="0.5">
      <c r="A97" s="2"/>
      <c r="B97" s="2">
        <v>94</v>
      </c>
      <c r="C97" s="2" t="s">
        <v>109</v>
      </c>
      <c r="D97" s="2" t="s">
        <v>206</v>
      </c>
      <c r="E97" s="2">
        <v>1972</v>
      </c>
      <c r="F97" s="2" t="str">
        <f t="shared" si="3"/>
        <v>B</v>
      </c>
      <c r="G97" s="3" t="s">
        <v>11</v>
      </c>
      <c r="H97" s="2" t="s">
        <v>16</v>
      </c>
      <c r="I97" s="4">
        <v>1.4159722222222222</v>
      </c>
    </row>
    <row r="98" spans="1:9" x14ac:dyDescent="0.5">
      <c r="A98" s="2"/>
      <c r="B98" s="2">
        <v>95</v>
      </c>
      <c r="C98" s="2" t="s">
        <v>207</v>
      </c>
      <c r="D98" s="2" t="s">
        <v>208</v>
      </c>
      <c r="E98" s="2">
        <v>1946</v>
      </c>
      <c r="F98" s="2" t="str">
        <f t="shared" si="3"/>
        <v>D</v>
      </c>
      <c r="G98" s="3" t="s">
        <v>11</v>
      </c>
      <c r="H98" s="2" t="s">
        <v>16</v>
      </c>
      <c r="I98" s="4">
        <v>1.9166666666666667</v>
      </c>
    </row>
    <row r="99" spans="1:9" x14ac:dyDescent="0.5">
      <c r="A99" s="2"/>
      <c r="B99" s="2">
        <v>96</v>
      </c>
      <c r="C99" s="2" t="s">
        <v>209</v>
      </c>
      <c r="D99" s="2" t="s">
        <v>210</v>
      </c>
      <c r="E99" s="2">
        <v>1974</v>
      </c>
      <c r="F99" s="2" t="str">
        <f t="shared" si="3"/>
        <v>B</v>
      </c>
      <c r="G99" s="3" t="s">
        <v>11</v>
      </c>
      <c r="H99" s="2" t="s">
        <v>16</v>
      </c>
      <c r="I99" s="4">
        <v>1.4770833333333335</v>
      </c>
    </row>
    <row r="100" spans="1:9" x14ac:dyDescent="0.5">
      <c r="A100" s="6"/>
      <c r="B100" s="2">
        <v>97</v>
      </c>
      <c r="C100" s="2" t="s">
        <v>211</v>
      </c>
      <c r="D100" s="2" t="s">
        <v>212</v>
      </c>
      <c r="E100" s="2">
        <v>1951</v>
      </c>
      <c r="F100" s="2" t="str">
        <f t="shared" si="3"/>
        <v>D</v>
      </c>
      <c r="G100" s="3" t="s">
        <v>11</v>
      </c>
      <c r="H100" s="2" t="s">
        <v>16</v>
      </c>
      <c r="I100" s="5">
        <v>1.5777777777777777</v>
      </c>
    </row>
    <row r="101" spans="1:9" x14ac:dyDescent="0.5">
      <c r="A101" s="2"/>
      <c r="B101" s="2">
        <v>98</v>
      </c>
      <c r="C101" s="2" t="s">
        <v>213</v>
      </c>
      <c r="D101" s="2" t="s">
        <v>214</v>
      </c>
      <c r="E101" s="2">
        <v>1978</v>
      </c>
      <c r="F101" s="2" t="str">
        <f t="shared" si="3"/>
        <v>A</v>
      </c>
      <c r="G101" s="3" t="s">
        <v>11</v>
      </c>
      <c r="H101" s="2" t="s">
        <v>215</v>
      </c>
      <c r="I101" s="4">
        <v>1.4597222222222221</v>
      </c>
    </row>
    <row r="102" spans="1:9" x14ac:dyDescent="0.5">
      <c r="A102" s="2"/>
      <c r="B102" s="2">
        <v>99</v>
      </c>
      <c r="C102" s="2" t="s">
        <v>116</v>
      </c>
      <c r="D102" s="2" t="s">
        <v>216</v>
      </c>
      <c r="E102" s="2">
        <v>1958</v>
      </c>
      <c r="F102" s="2" t="str">
        <f t="shared" si="3"/>
        <v>C</v>
      </c>
      <c r="G102" s="3" t="s">
        <v>11</v>
      </c>
      <c r="H102" s="2" t="s">
        <v>217</v>
      </c>
      <c r="I102" s="4">
        <v>1.5930555555555557</v>
      </c>
    </row>
    <row r="103" spans="1:9" x14ac:dyDescent="0.5">
      <c r="A103" s="2"/>
      <c r="B103" s="2">
        <v>100</v>
      </c>
      <c r="C103" s="2" t="s">
        <v>79</v>
      </c>
      <c r="D103" s="2" t="s">
        <v>181</v>
      </c>
      <c r="E103" s="2">
        <v>1944</v>
      </c>
      <c r="F103" s="2" t="str">
        <f t="shared" si="3"/>
        <v>D</v>
      </c>
      <c r="G103" s="3" t="s">
        <v>11</v>
      </c>
      <c r="H103" s="2" t="s">
        <v>218</v>
      </c>
      <c r="I103" s="4">
        <v>1.9159722222222222</v>
      </c>
    </row>
    <row r="104" spans="1:9" x14ac:dyDescent="0.5">
      <c r="A104" s="2"/>
      <c r="B104" s="2">
        <v>101</v>
      </c>
      <c r="C104" s="2" t="s">
        <v>219</v>
      </c>
      <c r="D104" s="2" t="s">
        <v>220</v>
      </c>
      <c r="E104" s="2">
        <v>1976</v>
      </c>
      <c r="F104" s="2" t="str">
        <f t="shared" si="3"/>
        <v>A</v>
      </c>
      <c r="G104" s="3" t="s">
        <v>11</v>
      </c>
      <c r="H104" s="2" t="s">
        <v>16</v>
      </c>
      <c r="I104" s="4">
        <v>1.5868055555555556</v>
      </c>
    </row>
    <row r="105" spans="1:9" x14ac:dyDescent="0.5">
      <c r="A105" s="2"/>
      <c r="B105" s="2">
        <v>102</v>
      </c>
      <c r="C105" s="2" t="s">
        <v>43</v>
      </c>
      <c r="D105" s="2" t="s">
        <v>73</v>
      </c>
      <c r="E105" s="2">
        <v>1974</v>
      </c>
      <c r="F105" s="2" t="str">
        <f t="shared" si="3"/>
        <v>B</v>
      </c>
      <c r="G105" s="3" t="s">
        <v>11</v>
      </c>
      <c r="H105" s="2" t="s">
        <v>125</v>
      </c>
      <c r="I105" s="4">
        <v>1.2861111111111112</v>
      </c>
    </row>
    <row r="106" spans="1:9" x14ac:dyDescent="0.5">
      <c r="A106" s="2"/>
      <c r="B106" s="2">
        <v>103</v>
      </c>
      <c r="C106" s="2" t="s">
        <v>49</v>
      </c>
      <c r="D106" s="2" t="s">
        <v>220</v>
      </c>
      <c r="E106" s="2">
        <v>1973</v>
      </c>
      <c r="F106" s="2" t="str">
        <f t="shared" si="3"/>
        <v>B</v>
      </c>
      <c r="G106" s="3" t="s">
        <v>11</v>
      </c>
      <c r="H106" s="2" t="s">
        <v>125</v>
      </c>
      <c r="I106" s="4">
        <v>1.5097222222222222</v>
      </c>
    </row>
    <row r="107" spans="1:9" x14ac:dyDescent="0.5">
      <c r="A107" s="2"/>
      <c r="B107" s="2">
        <v>104</v>
      </c>
      <c r="C107" s="2" t="s">
        <v>199</v>
      </c>
      <c r="D107" s="2" t="s">
        <v>221</v>
      </c>
      <c r="E107" s="2">
        <v>1958</v>
      </c>
      <c r="F107" s="2" t="str">
        <f t="shared" si="3"/>
        <v>C</v>
      </c>
      <c r="G107" s="3" t="s">
        <v>11</v>
      </c>
      <c r="H107" s="2" t="s">
        <v>71</v>
      </c>
      <c r="I107" s="4">
        <v>1.70625</v>
      </c>
    </row>
    <row r="108" spans="1:9" x14ac:dyDescent="0.5">
      <c r="A108" s="6"/>
      <c r="B108" s="2">
        <v>105</v>
      </c>
      <c r="C108" s="2" t="s">
        <v>199</v>
      </c>
      <c r="D108" s="2" t="s">
        <v>222</v>
      </c>
      <c r="E108" s="2">
        <v>1960</v>
      </c>
      <c r="F108" s="2" t="str">
        <f t="shared" si="3"/>
        <v>C</v>
      </c>
      <c r="G108" s="3" t="s">
        <v>11</v>
      </c>
      <c r="H108" s="2" t="s">
        <v>223</v>
      </c>
      <c r="I108" s="4">
        <v>1.8770833333333332</v>
      </c>
    </row>
    <row r="109" spans="1:9" x14ac:dyDescent="0.5">
      <c r="A109" s="2"/>
      <c r="B109" s="2">
        <v>106</v>
      </c>
      <c r="C109" s="2" t="s">
        <v>102</v>
      </c>
      <c r="D109" s="2" t="s">
        <v>224</v>
      </c>
      <c r="E109" s="2">
        <v>1949</v>
      </c>
      <c r="F109" s="2" t="str">
        <f t="shared" si="3"/>
        <v>D</v>
      </c>
      <c r="G109" s="3" t="s">
        <v>11</v>
      </c>
      <c r="H109" s="2" t="s">
        <v>225</v>
      </c>
      <c r="I109" s="4">
        <v>1.8805555555555555</v>
      </c>
    </row>
    <row r="112" spans="1:9" x14ac:dyDescent="0.5">
      <c r="I112" s="8"/>
    </row>
    <row r="113" spans="1:1" x14ac:dyDescent="0.5">
      <c r="A113" t="s">
        <v>226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Bežci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anita.bernerova</dc:creator>
  <cp:lastModifiedBy>Grexova, Rachel</cp:lastModifiedBy>
  <dcterms:created xsi:type="dcterms:W3CDTF">2019-05-27T11:39:08Z</dcterms:created>
  <dcterms:modified xsi:type="dcterms:W3CDTF">2026-01-30T07:54:16Z</dcterms:modified>
</cp:coreProperties>
</file>